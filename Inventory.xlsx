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55" yWindow="1425" windowWidth="21600" windowHeight="11295" tabRatio="600" firstSheet="1" activeTab="5" autoFilterDateGrouping="1"/>
  </bookViews>
  <sheets>
    <sheet name="Non Stock Items" sheetId="1" state="visible" r:id="rId1"/>
    <sheet name="Chart1" sheetId="2" state="visible" r:id="rId2"/>
    <sheet name="Inventory" sheetId="3" state="visible" r:id="rId3"/>
    <sheet name="Product Master" sheetId="4" state="visible" r:id="rId4"/>
    <sheet name="Data" sheetId="5" state="visible" r:id="rId5"/>
    <sheet name="dB" sheetId="6" state="visible" r:id="rId6"/>
    <sheet name="Movement Report" sheetId="7" state="visible" r:id="rId7"/>
    <sheet name="Dimesnion Report" sheetId="8" state="visible" r:id="rId8"/>
    <sheet name="Transfer Log" sheetId="9" state="visible" r:id="rId9"/>
  </sheets>
  <definedNames/>
  <calcPr calcId="191029" fullCalcOnLoad="1"/>
  <pivotCaches>
    <pivotCache cacheId="0" r:id="rId10"/>
  </pivotCaches>
</workbook>
</file>

<file path=xl/styles.xml><?xml version="1.0" encoding="utf-8"?>
<styleSheet xmlns="http://schemas.openxmlformats.org/spreadsheetml/2006/main">
  <numFmts count="7">
    <numFmt numFmtId="164" formatCode="_-* #,##0_-;\-* #,##0_-;_-* &quot;-&quot;??_-;_-@_-"/>
    <numFmt numFmtId="165" formatCode="_-* #,##0_-;\-* #,##0_-;_-* &quot;-&quot;_-;_-@_-"/>
    <numFmt numFmtId="166" formatCode="#,##0;[Red]\-#,##0;;@"/>
    <numFmt numFmtId="167" formatCode="#,##0_ ;[Red]\-#,##0\ "/>
    <numFmt numFmtId="168" formatCode="_-* #,##0.00_-;\-* #,##0.00_-;_-* &quot;-&quot;??_-;_-@_-"/>
    <numFmt numFmtId="169" formatCode="&quot;R&quot;#,##0"/>
    <numFmt numFmtId="170" formatCode="_-&quot;R&quot;* #,##0_-;\-&quot;R&quot;* #,##0_-;_-&quot;R&quot;* &quot;-&quot;_-;_-@_-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0"/>
      <sz val="16"/>
      <scheme val="minor"/>
    </font>
    <font>
      <name val="Aptos Narrow"/>
      <family val="2"/>
      <b val="1"/>
      <color theme="0"/>
      <sz val="24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1"/>
    </font>
    <font>
      <name val="Aptos Narrow"/>
      <family val="2"/>
      <b val="1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6" tint="0.3999145481734672"/>
      </left>
      <right style="thin">
        <color theme="6" tint="0.3999145481734672"/>
      </right>
      <top style="thin">
        <color theme="6" tint="0.3999145481734672"/>
      </top>
      <bottom style="thin">
        <color theme="6" tint="0.3999145481734672"/>
      </bottom>
      <diagonal/>
    </border>
    <border>
      <left/>
      <right/>
      <top/>
      <bottom style="thin">
        <color rgb="FFFFC000"/>
      </bottom>
      <diagonal/>
    </border>
    <border>
      <left style="thin">
        <color theme="6" tint="0.3999145481734672"/>
      </left>
      <right style="thin">
        <color theme="6" tint="0.3999145481734672"/>
      </right>
      <top/>
      <bottom style="thin">
        <color theme="6" tint="0.3999145481734672"/>
      </bottom>
      <diagonal/>
    </border>
    <border>
      <left style="thin">
        <color theme="6" tint="0.3999145481734672"/>
      </left>
      <right style="thin">
        <color theme="6" tint="0.3999145481734672"/>
      </right>
      <top style="thin">
        <color theme="6" tint="0.3999145481734672"/>
      </top>
      <bottom/>
      <diagonal/>
    </border>
  </borders>
  <cellStyleXfs count="2">
    <xf numFmtId="0" fontId="1" fillId="0" borderId="0"/>
    <xf numFmtId="43" fontId="1" fillId="0" borderId="0"/>
  </cellStyleXfs>
  <cellXfs count="9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164" fontId="0" fillId="0" borderId="2" pivotButton="0" quotePrefix="0" xfId="1"/>
    <xf numFmtId="16" fontId="0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1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4" fillId="9" borderId="0" applyAlignment="1" pivotButton="0" quotePrefix="0" xfId="0">
      <alignment horizontal="center"/>
    </xf>
    <xf numFmtId="165" fontId="0" fillId="0" borderId="1" applyAlignment="1" pivotButton="0" quotePrefix="0" xfId="1">
      <alignment horizontal="center"/>
    </xf>
    <xf numFmtId="166" fontId="2" fillId="8" borderId="0" applyAlignment="1" pivotButton="0" quotePrefix="0" xfId="0">
      <alignment horizontal="center"/>
    </xf>
    <xf numFmtId="166" fontId="0" fillId="0" borderId="0" pivotButton="0" quotePrefix="0" xfId="0"/>
    <xf numFmtId="164" fontId="2" fillId="0" borderId="2" pivotButton="0" quotePrefix="0" xfId="1"/>
    <xf numFmtId="0" fontId="0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167" fontId="2" fillId="8" borderId="0" applyAlignment="1" pivotButton="0" quotePrefix="0" xfId="1">
      <alignment horizontal="center"/>
    </xf>
    <xf numFmtId="167" fontId="2" fillId="0" borderId="2" pivotButton="0" quotePrefix="0" xfId="1"/>
    <xf numFmtId="167" fontId="0" fillId="0" borderId="0" pivotButton="0" quotePrefix="0" xfId="1"/>
    <xf numFmtId="0" fontId="0" fillId="0" borderId="0" pivotButton="1" quotePrefix="0" xfId="0"/>
    <xf numFmtId="14" fontId="0" fillId="0" borderId="0" pivotButton="0" quotePrefix="0" xfId="0"/>
    <xf numFmtId="0" fontId="7" fillId="0" borderId="3" applyAlignment="1" pivotButton="0" quotePrefix="0" xfId="0">
      <alignment horizontal="center"/>
    </xf>
    <xf numFmtId="0" fontId="5" fillId="2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168" fontId="0" fillId="0" borderId="2" pivotButton="0" quotePrefix="0" xfId="1"/>
    <xf numFmtId="168" fontId="2" fillId="0" borderId="2" pivotButton="0" quotePrefix="0" xfId="1"/>
    <xf numFmtId="0" fontId="5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169" fontId="0" fillId="0" borderId="3" pivotButton="0" quotePrefix="0" xfId="0"/>
    <xf numFmtId="169" fontId="0" fillId="0" borderId="0" pivotButton="0" quotePrefix="0" xfId="0"/>
    <xf numFmtId="170" fontId="0" fillId="0" borderId="1" applyAlignment="1" pivotButton="0" quotePrefix="0" xfId="1">
      <alignment horizontal="center"/>
    </xf>
    <xf numFmtId="16" fontId="0" fillId="7" borderId="1" pivotButton="0" quotePrefix="0" xfId="0"/>
    <xf numFmtId="0" fontId="0" fillId="7" borderId="1" pivotButton="0" quotePrefix="0" xfId="0"/>
    <xf numFmtId="165" fontId="0" fillId="7" borderId="1" applyAlignment="1" pivotButton="0" quotePrefix="0" xfId="1">
      <alignment horizontal="center"/>
    </xf>
    <xf numFmtId="0" fontId="8" fillId="6" borderId="0" applyAlignment="1" pivotButton="0" quotePrefix="0" xfId="0">
      <alignment horizontal="center"/>
    </xf>
    <xf numFmtId="0" fontId="0" fillId="0" borderId="5" pivotButton="0" quotePrefix="0" xfId="0"/>
    <xf numFmtId="0" fontId="0" fillId="0" borderId="1" applyAlignment="1" pivotButton="0" quotePrefix="0" xfId="0">
      <alignment horizontal="left"/>
    </xf>
    <xf numFmtId="0" fontId="4" fillId="9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8" fillId="7" borderId="0" applyAlignment="1" pivotButton="0" quotePrefix="0" xfId="0">
      <alignment horizontal="center"/>
    </xf>
    <xf numFmtId="0" fontId="8" fillId="7" borderId="0" applyAlignment="1" pivotButton="0" quotePrefix="0" xfId="0">
      <alignment horizontal="left"/>
    </xf>
    <xf numFmtId="165" fontId="0" fillId="10" borderId="1" applyAlignment="1" pivotButton="0" quotePrefix="0" xfId="1">
      <alignment horizontal="center"/>
    </xf>
    <xf numFmtId="16" fontId="0" fillId="10" borderId="1" pivotButton="0" quotePrefix="0" xfId="0"/>
    <xf numFmtId="0" fontId="0" fillId="10" borderId="1" pivotButton="0" quotePrefix="0" xfId="0"/>
    <xf numFmtId="170" fontId="0" fillId="10" borderId="1" applyAlignment="1" pivotButton="0" quotePrefix="0" xfId="1">
      <alignment horizontal="center"/>
    </xf>
    <xf numFmtId="0" fontId="0" fillId="10" borderId="1" applyAlignment="1" pivotButton="0" quotePrefix="0" xfId="0">
      <alignment horizontal="left"/>
    </xf>
    <xf numFmtId="0" fontId="0" fillId="11" borderId="0" pivotButton="0" quotePrefix="0" xfId="0"/>
    <xf numFmtId="49" fontId="0" fillId="0" borderId="0" pivotButton="0" quotePrefix="0" xfId="0"/>
    <xf numFmtId="49" fontId="0" fillId="0" borderId="0" pivotButton="1" quotePrefix="0" xfId="0"/>
    <xf numFmtId="170" fontId="0" fillId="0" borderId="0" pivotButton="0" quotePrefix="0" xfId="0"/>
    <xf numFmtId="16" fontId="0" fillId="0" borderId="6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center"/>
    </xf>
    <xf numFmtId="169" fontId="0" fillId="0" borderId="6" pivotButton="0" quotePrefix="0" xfId="0"/>
    <xf numFmtId="165" fontId="0" fillId="10" borderId="1" applyAlignment="1" pivotButton="0" quotePrefix="0" xfId="1">
      <alignment horizontal="left"/>
    </xf>
    <xf numFmtId="0" fontId="4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wrapText="1"/>
    </xf>
    <xf numFmtId="167" fontId="0" fillId="0" borderId="0" pivotButton="0" quotePrefix="0" xfId="1"/>
    <xf numFmtId="166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9" borderId="0" applyAlignment="1" pivotButton="0" quotePrefix="0" xfId="0">
      <alignment horizontal="center"/>
    </xf>
    <xf numFmtId="167" fontId="0" fillId="0" borderId="0" pivotButton="0" quotePrefix="0" xfId="1"/>
    <xf numFmtId="166" fontId="0" fillId="0" borderId="0" pivotButton="0" quotePrefix="0" xfId="0"/>
    <xf numFmtId="167" fontId="2" fillId="8" borderId="0" applyAlignment="1" pivotButton="0" quotePrefix="0" xfId="1">
      <alignment horizontal="center"/>
    </xf>
    <xf numFmtId="166" fontId="2" fillId="8" borderId="0" applyAlignment="1" pivotButton="0" quotePrefix="0" xfId="0">
      <alignment horizontal="center"/>
    </xf>
    <xf numFmtId="169" fontId="0" fillId="0" borderId="3" pivotButton="0" quotePrefix="0" xfId="0"/>
    <xf numFmtId="165" fontId="0" fillId="7" borderId="1" applyAlignment="1" pivotButton="0" quotePrefix="0" xfId="1">
      <alignment horizontal="center"/>
    </xf>
    <xf numFmtId="165" fontId="0" fillId="0" borderId="1" applyAlignment="1" pivotButton="0" quotePrefix="0" xfId="1">
      <alignment horizontal="center"/>
    </xf>
    <xf numFmtId="170" fontId="0" fillId="0" borderId="1" applyAlignment="1" pivotButton="0" quotePrefix="0" xfId="1">
      <alignment horizontal="center"/>
    </xf>
    <xf numFmtId="167" fontId="2" fillId="0" borderId="2" pivotButton="0" quotePrefix="0" xfId="1"/>
    <xf numFmtId="165" fontId="0" fillId="10" borderId="1" applyAlignment="1" pivotButton="0" quotePrefix="0" xfId="1">
      <alignment horizontal="center"/>
    </xf>
    <xf numFmtId="170" fontId="0" fillId="10" borderId="1" applyAlignment="1" pivotButton="0" quotePrefix="0" xfId="1">
      <alignment horizontal="center"/>
    </xf>
    <xf numFmtId="165" fontId="0" fillId="10" borderId="1" applyAlignment="1" pivotButton="0" quotePrefix="0" xfId="1">
      <alignment horizontal="left"/>
    </xf>
    <xf numFmtId="168" fontId="0" fillId="0" borderId="2" pivotButton="0" quotePrefix="0" xfId="1"/>
    <xf numFmtId="168" fontId="2" fillId="0" borderId="2" pivotButton="0" quotePrefix="0" xfId="1"/>
    <xf numFmtId="169" fontId="0" fillId="0" borderId="6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2">
    <cellStyle name="Normal" xfId="0" builtinId="0"/>
    <cellStyle name="Comma" xfId="1" builtinId="3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  <u val="double"/>
      </font>
      <fill>
        <patternFill>
          <bgColor rgb="FFFF0000"/>
        </patternFill>
      </fill>
      <border>
        <vertical/>
        <horizontal/>
      </border>
    </dxf>
    <dxf>
      <fill>
        <patternFill>
          <bgColor rgb="FFFFFF00"/>
        </patternFill>
      </fill>
    </dxf>
    <dxf>
      <font>
        <b val="1"/>
        <color rgb="FFFF0000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alignment horizontal="left" vertical="bottom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alignment horizontal="left" vertical="bottom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ill>
        <patternFill patternType="solid">
          <fgColor indexed="64"/>
          <bgColor theme="5" tint="0.7999816888943144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2" formatCode="_-&quot;R&quot;* #,##0_-;\-&quot;R&quot;* #,##0_-;_-&quot;R&quot;* &quot;-&quot;_-;_-@_-"/>
      <alignment horizontal="center" vertical="bottom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alignment horizontal="center" vertical="bottom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alignment horizontal="center" vertical="bottom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fill>
        <patternFill patternType="solid">
          <fgColor indexed="64"/>
          <bgColor theme="5" tint="0.7999816888943144"/>
        </patternFill>
      </fill>
      <alignment horizontal="center" vertical="bottom"/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ill>
        <patternFill patternType="solid">
          <fgColor indexed="64"/>
          <bgColor theme="5" tint="0.7999816888943144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ill>
        <patternFill patternType="solid">
          <fgColor indexed="64"/>
          <bgColor theme="5" tint="0.7999816888943144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21" formatCode="dd\-mmm"/>
      <fill>
        <patternFill patternType="solid">
          <fgColor indexed="64"/>
          <bgColor theme="5" tint="0.7999816888943144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border outline="0">
        <bottom style="thin">
          <color rgb="FFFFC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bottom"/>
    </dxf>
    <dxf>
      <numFmt numFmtId="0" formatCode="General"/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numFmt numFmtId="167" formatCode="&quot;R&quot;#,##0"/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alignment horizontal="center" vertical="bottom"/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>
        <left style="thin">
          <color theme="6" tint="0.3999145481734672"/>
        </left>
        <right style="thin">
          <color theme="6" tint="0.3999145481734672"/>
        </right>
        <top style="thin">
          <color theme="6" tint="0.3999145481734672"/>
        </top>
        <bottom style="thin">
          <color theme="6" tint="0.3999145481734672"/>
        </bottom>
        <vertical/>
        <horizontal/>
      </border>
    </dxf>
    <dxf>
      <border outline="0">
        <bottom style="thin">
          <color theme="6" tint="0.3999145481734672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6" tint="0.7999816888943144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chartsheet" Target="/xl/chart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pivotCacheDefinition" Target="/xl/pivotCache/pivotCacheDefinition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 lang="en-ZA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Inventory!$B$2</f>
              <strCache>
                <ptCount val="1"/>
                <pt idx="0">
                  <v>Inventory Management Sheet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Inventory!$C$2:$X$2</f>
              <numCache>
                <formatCode>General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8670800"/>
        <axId val="1748671280"/>
      </barChart>
      <catAx>
        <axId val="174867080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8671280"/>
        <crosses val="autoZero"/>
        <auto val="1"/>
        <lblAlgn val="ctr"/>
        <lblOffset val="100"/>
        <noMultiLvlLbl val="0"/>
      </catAx>
      <valAx>
        <axId val="174867128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867080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 codeName="Chart1"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Ntethelelo Shabalala" refreshedDate="46094.43663506945" createdVersion="8" refreshedVersion="8" minRefreshableVersion="3" recordCount="75" r:id="rId1">
  <cacheSource type="worksheet">
    <worksheetSource name="dB"/>
  </cacheSource>
  <cacheFields count="13">
    <cacheField name="Date" uniqueList="1" numFmtId="14" sqlType="0" hierarchy="0" level="0" databaseField="1">
      <sharedItems count="10" containsDate="1" containsNonDate="0" containsSemiMixedTypes="0" containsString="0" minDate="2026-02-25T00:00:00" maxDate="2026-03-17T00:00:00">
        <d v="2026-02-25T00:00:00"/>
        <d v="2026-02-26T00:00:00"/>
        <d v="2026-02-27T00:00:00"/>
        <d v="2026-02-28T00:00:00"/>
        <d v="2026-03-13T00:00:00"/>
        <d v="2026-03-16T00:00:00"/>
        <d v="2026-03-15T00:00:00" u="1"/>
        <d v="2026-03-10T00:00:00" u="1"/>
        <d v="2026-03-11T00:00:00" u="1"/>
        <d v="2026-03-12T00:00:00" u="1"/>
      </sharedItems>
      <fieldGroup par="12"/>
    </cacheField>
    <cacheField name="Product" uniqueList="1" numFmtId="0" sqlType="0" hierarchy="0" level="0" databaseField="1">
      <sharedItems count="44" containsBlank="1">
        <s v="Label Printers"/>
        <s v="NumPads"/>
        <s v="Wired Keyboards"/>
        <s v="Wired Mouse"/>
        <s v="Wired Keyboards &amp; Mouse Combos"/>
        <s v="Phones - Voip"/>
        <s v="Phones - Analogue"/>
        <s v="Hand Held Scanners"/>
        <s v="USB Hubs"/>
        <s v="Ethernet to USB adaptors"/>
        <s v="USB Web Cam"/>
        <s v="Switch - Unmanaged"/>
        <s v="Hard Drives - HDD"/>
        <s v="Hard Drives - SSD"/>
        <s v="M Class Printers"/>
        <s v="MM Stations"/>
        <s v="Desktops"/>
        <s v="Android Scanners"/>
        <s v="USB Wi-Fi Dongle"/>
        <s v="Type B Cell Chargers"/>
        <s v="Type C Cell Chargers"/>
        <s v="UBNT Nano Stations"/>
        <s v="Turnstile Relays"/>
        <s v="UPS - 12v"/>
        <s v="Biometrics - VisionPass"/>
        <s v="Laptop Bags"/>
        <s v="GK420T Heads"/>
        <s v="RJ45 Plugs"/>
        <s v="RJ45 Boots"/>
        <s v="Toners - Kyocera 4012"/>
        <s v="Toners - Kyocera 3212"/>
        <s v="Toners - MA4500ix"/>
        <s v="Toners - Olivetti C2335"/>
        <s v="Fibre - Single mode (LC to LC)"/>
        <s v="Fibre - Multi mode (LC to ST)"/>
        <s v="Fibre - Multi mode (LC to LC)"/>
        <s v="SFP Multi-mode Modules"/>
        <s v="SFP Single-mode Modules"/>
        <s v="Laptop Chargers"/>
        <s v="Network Cable(1 Roll x 200m)"/>
        <s v="UPS - Desktop"/>
        <s v="Networking"/>
        <m/>
        <s v="Wireless Mouse" u="1"/>
      </sharedItems>
    </cacheField>
    <cacheField name="Serial Num" uniqueList="1" numFmtId="49" sqlType="0" hierarchy="0" level="0" databaseField="1">
      <sharedItems count="41" containsBlank="1" containsInteger="1" containsMixedTypes="1" containsNumber="1" minValue="72066305" maxValue="25113523706792">
        <s v="29J220201531"/>
        <m/>
        <s v="23WZ370002H0"/>
        <s v="23W236400120"/>
        <s v="23WZ364000PC"/>
        <s v="23WZ364000P9"/>
        <s v="23WZ2600008R"/>
        <s v="23WZ364000WP"/>
        <s v="23WZ3640007R"/>
        <s v="23WZ364000RC"/>
        <s v="23WZ364000XK"/>
        <s v="8010403F03605338"/>
        <s v="KKBY535521X"/>
        <s v="25113523706792"/>
        <s v="25013523704999"/>
        <s v="25013523704961"/>
        <s v="29J173600541"/>
        <s v="28J174600908"/>
        <s v="D4J251803235"/>
        <s v="D5J202602178"/>
        <s v="D4J244908462"/>
        <s v="29J173600158"/>
        <s v="29J220201551"/>
        <s v="72066305"/>
        <s v="94846032"/>
        <s v="PJ250117171"/>
        <s v="PJ250117027"/>
        <s v="PJ250117028"/>
        <s v="PJ240920028"/>
        <s v="PJ250117029"/>
        <s v="PJ250117176"/>
        <s v="PJ250117126"/>
        <s v="7YKPJB4"/>
        <s v="4CE908042Z"/>
        <s v="FG1197D007772"/>
        <s v="FW12180000578"/>
        <n v="25113523706792" u="1"/>
        <n v="25013523704999" u="1"/>
        <n v="25013523704961" u="1"/>
        <n v="72066305" u="1"/>
        <n v="94846032" u="1"/>
      </sharedItems>
    </cacheField>
    <cacheField name="Make &amp; Model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0.25" maxValue="88"/>
    </cacheField>
    <cacheField name="Asset / Inv Num" uniqueList="1" numFmtId="0" sqlType="0" hierarchy="0" level="0" databaseField="1">
      <sharedItems count="5" containsBlank="1" containsInteger="1" containsMixedTypes="1" containsNumber="1" minValue="0" maxValue="0">
        <m/>
        <n v="0"/>
        <s v="XT3237"/>
        <s v="XT3242"/>
        <s v="XT3243"/>
      </sharedItems>
    </cacheField>
    <cacheField name="Capex Num" uniqueList="1" numFmtId="0" sqlType="0" hierarchy="0" level="0" databaseField="1">
      <sharedItems count="0" containsBlank="1" containsInteger="1" containsNumber="1" containsString="0" minValue="0" maxValue="0"/>
    </cacheField>
    <cacheField name="Price excl" uniqueList="1" numFmtId="0" sqlType="0" hierarchy="0" level="0" databaseField="1">
      <sharedItems count="0" containsBlank="1" containsInteger="1" containsNumber="1" containsString="0" minValue="0" maxValue="17264"/>
    </cacheField>
    <cacheField name="Department" uniqueList="1" numFmtId="0" sqlType="0" hierarchy="0" level="0" databaseField="1">
      <sharedItems count="9" containsBlank="1">
        <s v="IT"/>
        <s v="Bacon"/>
        <s v="Dispatch"/>
        <s v="Deboning"/>
        <s v="HR"/>
        <s v="Health &amp; Saftey"/>
        <s v="PRODUCTION" u="1"/>
        <s v="jhjjh" u="1"/>
        <m u="1"/>
      </sharedItems>
    </cacheField>
    <cacheField name="PC Name" uniqueList="1" numFmtId="0" sqlType="0" hierarchy="0" level="0" databaseField="1">
      <sharedItems count="0" containsBlank="1"/>
    </cacheField>
    <cacheField name="Stock" uniqueList="1" numFmtId="0" sqlType="0" hierarchy="0" level="0" databaseField="1">
      <sharedItems count="2">
        <s v="Stock In"/>
        <s v="Stock Out"/>
      </sharedItems>
    </cacheField>
    <cacheField name="Days (Date)" uniqueList="1" numFmtId="0" sqlType="0" hierarchy="0" level="0" databaseField="0">
      <fieldGroup base="0">
        <rangePr autoStart="1" autoEnd="1" groupBy="days" startDate="2026-02-25T00:00:00" endDate="2026-03-17T00:00:00" groupInterval="1"/>
        <groupItems count="368">
          <s v="&lt;2026/02/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/03/17"/>
        </groupItems>
      </fieldGroup>
    </cacheField>
    <cacheField name="Months (Date)" uniqueList="1" numFmtId="0" sqlType="0" hierarchy="0" level="0" databaseField="0">
      <fieldGroup base="0">
        <rangePr autoStart="1" autoEnd="1" groupBy="months" startDate="2026-02-25T00:00:00" endDate="2026-03-17T00:00:00" groupInterval="1"/>
        <groupItems count="14">
          <s v="&lt;2026/02/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6/03/17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75">
  <r>
    <x v="0"/>
    <x v="0"/>
    <x v="0"/>
    <s v="Zebra GK420t"/>
    <n v="1"/>
    <x v="0"/>
    <m/>
    <m/>
    <x v="0"/>
    <m/>
    <x v="0"/>
  </r>
  <r>
    <x v="1"/>
    <x v="0"/>
    <x v="0"/>
    <s v="Zebra GK420t"/>
    <n v="1"/>
    <x v="1"/>
    <n v="0"/>
    <n v="0"/>
    <x v="1"/>
    <s v="ESTBaconIn"/>
    <x v="1"/>
  </r>
  <r>
    <x v="2"/>
    <x v="0"/>
    <x v="0"/>
    <s v="Zebra GK420t"/>
    <n v="1"/>
    <x v="0"/>
    <m/>
    <m/>
    <x v="0"/>
    <m/>
    <x v="0"/>
  </r>
  <r>
    <x v="3"/>
    <x v="1"/>
    <x v="1"/>
    <m/>
    <n v="1"/>
    <x v="0"/>
    <m/>
    <m/>
    <x v="0"/>
    <m/>
    <x v="0"/>
  </r>
  <r>
    <x v="3"/>
    <x v="2"/>
    <x v="1"/>
    <m/>
    <n v="6"/>
    <x v="0"/>
    <m/>
    <m/>
    <x v="0"/>
    <m/>
    <x v="0"/>
  </r>
  <r>
    <x v="3"/>
    <x v="3"/>
    <x v="1"/>
    <m/>
    <n v="3"/>
    <x v="0"/>
    <m/>
    <m/>
    <x v="0"/>
    <m/>
    <x v="0"/>
  </r>
  <r>
    <x v="3"/>
    <x v="4"/>
    <x v="1"/>
    <m/>
    <n v="10"/>
    <x v="0"/>
    <m/>
    <m/>
    <x v="0"/>
    <m/>
    <x v="0"/>
  </r>
  <r>
    <x v="3"/>
    <x v="5"/>
    <x v="2"/>
    <s v="Avaya"/>
    <n v="1"/>
    <x v="0"/>
    <m/>
    <m/>
    <x v="0"/>
    <m/>
    <x v="0"/>
  </r>
  <r>
    <x v="3"/>
    <x v="5"/>
    <x v="3"/>
    <s v="Avaya"/>
    <n v="1"/>
    <x v="0"/>
    <m/>
    <m/>
    <x v="0"/>
    <m/>
    <x v="0"/>
  </r>
  <r>
    <x v="3"/>
    <x v="5"/>
    <x v="4"/>
    <s v="Avaya"/>
    <n v="1"/>
    <x v="0"/>
    <m/>
    <m/>
    <x v="0"/>
    <m/>
    <x v="0"/>
  </r>
  <r>
    <x v="3"/>
    <x v="5"/>
    <x v="5"/>
    <s v="Avaya"/>
    <n v="1"/>
    <x v="0"/>
    <m/>
    <m/>
    <x v="0"/>
    <m/>
    <x v="0"/>
  </r>
  <r>
    <x v="3"/>
    <x v="5"/>
    <x v="6"/>
    <s v="Avaya"/>
    <n v="1"/>
    <x v="0"/>
    <m/>
    <m/>
    <x v="0"/>
    <m/>
    <x v="0"/>
  </r>
  <r>
    <x v="3"/>
    <x v="5"/>
    <x v="7"/>
    <s v="Avaya"/>
    <n v="1"/>
    <x v="0"/>
    <m/>
    <m/>
    <x v="0"/>
    <m/>
    <x v="0"/>
  </r>
  <r>
    <x v="3"/>
    <x v="5"/>
    <x v="8"/>
    <s v="Avaya"/>
    <n v="1"/>
    <x v="0"/>
    <m/>
    <m/>
    <x v="0"/>
    <m/>
    <x v="0"/>
  </r>
  <r>
    <x v="3"/>
    <x v="5"/>
    <x v="9"/>
    <s v="Avaya"/>
    <n v="1"/>
    <x v="0"/>
    <m/>
    <m/>
    <x v="0"/>
    <m/>
    <x v="0"/>
  </r>
  <r>
    <x v="3"/>
    <x v="5"/>
    <x v="10"/>
    <s v="Avaya"/>
    <n v="1"/>
    <x v="0"/>
    <m/>
    <m/>
    <x v="0"/>
    <m/>
    <x v="0"/>
  </r>
  <r>
    <x v="3"/>
    <x v="5"/>
    <x v="11"/>
    <s v="YeaLink"/>
    <n v="1"/>
    <x v="0"/>
    <m/>
    <m/>
    <x v="0"/>
    <m/>
    <x v="0"/>
  </r>
  <r>
    <x v="3"/>
    <x v="6"/>
    <x v="12"/>
    <s v="Samsung"/>
    <n v="1"/>
    <x v="0"/>
    <m/>
    <m/>
    <x v="0"/>
    <m/>
    <x v="0"/>
  </r>
  <r>
    <x v="3"/>
    <x v="7"/>
    <x v="13"/>
    <s v="Zebra DS 2278"/>
    <n v="1"/>
    <x v="0"/>
    <m/>
    <m/>
    <x v="0"/>
    <m/>
    <x v="0"/>
  </r>
  <r>
    <x v="3"/>
    <x v="7"/>
    <x v="14"/>
    <s v="Zebra DS 2278"/>
    <n v="1"/>
    <x v="0"/>
    <m/>
    <m/>
    <x v="0"/>
    <m/>
    <x v="0"/>
  </r>
  <r>
    <x v="3"/>
    <x v="7"/>
    <x v="15"/>
    <s v="Zebra DS 2278"/>
    <n v="1"/>
    <x v="0"/>
    <m/>
    <m/>
    <x v="0"/>
    <m/>
    <x v="0"/>
  </r>
  <r>
    <x v="3"/>
    <x v="8"/>
    <x v="1"/>
    <m/>
    <n v="7"/>
    <x v="0"/>
    <m/>
    <m/>
    <x v="0"/>
    <m/>
    <x v="0"/>
  </r>
  <r>
    <x v="3"/>
    <x v="9"/>
    <x v="1"/>
    <m/>
    <n v="4"/>
    <x v="0"/>
    <m/>
    <m/>
    <x v="0"/>
    <m/>
    <x v="0"/>
  </r>
  <r>
    <x v="3"/>
    <x v="10"/>
    <x v="1"/>
    <m/>
    <n v="2"/>
    <x v="0"/>
    <m/>
    <m/>
    <x v="0"/>
    <m/>
    <x v="0"/>
  </r>
  <r>
    <x v="3"/>
    <x v="11"/>
    <x v="1"/>
    <m/>
    <n v="9"/>
    <x v="0"/>
    <m/>
    <m/>
    <x v="0"/>
    <m/>
    <x v="0"/>
  </r>
  <r>
    <x v="3"/>
    <x v="12"/>
    <x v="1"/>
    <m/>
    <n v="7"/>
    <x v="0"/>
    <m/>
    <m/>
    <x v="0"/>
    <m/>
    <x v="0"/>
  </r>
  <r>
    <x v="3"/>
    <x v="13"/>
    <x v="1"/>
    <m/>
    <n v="1"/>
    <x v="0"/>
    <m/>
    <m/>
    <x v="0"/>
    <m/>
    <x v="0"/>
  </r>
  <r>
    <x v="3"/>
    <x v="0"/>
    <x v="16"/>
    <s v="Zebra ZD230"/>
    <n v="1"/>
    <x v="0"/>
    <m/>
    <m/>
    <x v="0"/>
    <m/>
    <x v="0"/>
  </r>
  <r>
    <x v="3"/>
    <x v="0"/>
    <x v="17"/>
    <s v="Zebra ZD230"/>
    <n v="1"/>
    <x v="0"/>
    <m/>
    <m/>
    <x v="0"/>
    <m/>
    <x v="0"/>
  </r>
  <r>
    <x v="3"/>
    <x v="0"/>
    <x v="18"/>
    <s v="Zebra GK420t"/>
    <n v="1"/>
    <x v="0"/>
    <m/>
    <m/>
    <x v="0"/>
    <m/>
    <x v="0"/>
  </r>
  <r>
    <x v="3"/>
    <x v="0"/>
    <x v="19"/>
    <s v="Zebra GK420d"/>
    <n v="1"/>
    <x v="0"/>
    <m/>
    <m/>
    <x v="0"/>
    <m/>
    <x v="0"/>
  </r>
  <r>
    <x v="3"/>
    <x v="0"/>
    <x v="20"/>
    <s v="Zebra ZD230"/>
    <n v="1"/>
    <x v="0"/>
    <m/>
    <m/>
    <x v="0"/>
    <m/>
    <x v="0"/>
  </r>
  <r>
    <x v="3"/>
    <x v="0"/>
    <x v="21"/>
    <s v="Zebra GK420t"/>
    <n v="1"/>
    <x v="0"/>
    <m/>
    <m/>
    <x v="0"/>
    <m/>
    <x v="0"/>
  </r>
  <r>
    <x v="3"/>
    <x v="0"/>
    <x v="22"/>
    <s v="Zebra GK420t"/>
    <n v="1"/>
    <x v="0"/>
    <m/>
    <m/>
    <x v="0"/>
    <m/>
    <x v="0"/>
  </r>
  <r>
    <x v="3"/>
    <x v="14"/>
    <x v="23"/>
    <s v="Datamax o Neil II"/>
    <n v="1"/>
    <x v="0"/>
    <m/>
    <m/>
    <x v="0"/>
    <m/>
    <x v="0"/>
  </r>
  <r>
    <x v="3"/>
    <x v="14"/>
    <x v="24"/>
    <s v="Datamax o Neil II"/>
    <n v="1"/>
    <x v="0"/>
    <m/>
    <m/>
    <x v="0"/>
    <m/>
    <x v="0"/>
  </r>
  <r>
    <x v="3"/>
    <x v="15"/>
    <x v="25"/>
    <m/>
    <n v="1"/>
    <x v="0"/>
    <m/>
    <m/>
    <x v="0"/>
    <m/>
    <x v="0"/>
  </r>
  <r>
    <x v="3"/>
    <x v="15"/>
    <x v="26"/>
    <m/>
    <n v="1"/>
    <x v="0"/>
    <m/>
    <m/>
    <x v="0"/>
    <m/>
    <x v="0"/>
  </r>
  <r>
    <x v="3"/>
    <x v="15"/>
    <x v="27"/>
    <m/>
    <n v="1"/>
    <x v="0"/>
    <m/>
    <m/>
    <x v="0"/>
    <m/>
    <x v="0"/>
  </r>
  <r>
    <x v="3"/>
    <x v="15"/>
    <x v="28"/>
    <m/>
    <n v="1"/>
    <x v="0"/>
    <m/>
    <m/>
    <x v="0"/>
    <m/>
    <x v="0"/>
  </r>
  <r>
    <x v="3"/>
    <x v="15"/>
    <x v="29"/>
    <m/>
    <n v="1"/>
    <x v="0"/>
    <m/>
    <m/>
    <x v="0"/>
    <m/>
    <x v="0"/>
  </r>
  <r>
    <x v="3"/>
    <x v="15"/>
    <x v="30"/>
    <m/>
    <n v="1"/>
    <x v="0"/>
    <m/>
    <m/>
    <x v="0"/>
    <m/>
    <x v="0"/>
  </r>
  <r>
    <x v="3"/>
    <x v="15"/>
    <x v="31"/>
    <m/>
    <n v="1"/>
    <x v="0"/>
    <m/>
    <m/>
    <x v="0"/>
    <m/>
    <x v="0"/>
  </r>
  <r>
    <x v="3"/>
    <x v="16"/>
    <x v="32"/>
    <m/>
    <n v="1"/>
    <x v="0"/>
    <m/>
    <m/>
    <x v="0"/>
    <m/>
    <x v="0"/>
  </r>
  <r>
    <x v="3"/>
    <x v="16"/>
    <x v="33"/>
    <m/>
    <n v="1"/>
    <x v="0"/>
    <m/>
    <m/>
    <x v="0"/>
    <m/>
    <x v="0"/>
  </r>
  <r>
    <x v="3"/>
    <x v="17"/>
    <x v="34"/>
    <s v="Ciperlab"/>
    <n v="1"/>
    <x v="0"/>
    <m/>
    <m/>
    <x v="0"/>
    <m/>
    <x v="0"/>
  </r>
  <r>
    <x v="3"/>
    <x v="17"/>
    <x v="35"/>
    <s v="Ciperlab"/>
    <n v="1"/>
    <x v="0"/>
    <m/>
    <m/>
    <x v="0"/>
    <m/>
    <x v="0"/>
  </r>
  <r>
    <x v="3"/>
    <x v="18"/>
    <x v="1"/>
    <m/>
    <n v="1"/>
    <x v="0"/>
    <m/>
    <m/>
    <x v="0"/>
    <m/>
    <x v="0"/>
  </r>
  <r>
    <x v="3"/>
    <x v="19"/>
    <x v="1"/>
    <m/>
    <n v="2"/>
    <x v="0"/>
    <m/>
    <m/>
    <x v="0"/>
    <m/>
    <x v="0"/>
  </r>
  <r>
    <x v="3"/>
    <x v="20"/>
    <x v="1"/>
    <m/>
    <n v="3"/>
    <x v="0"/>
    <m/>
    <m/>
    <x v="0"/>
    <m/>
    <x v="0"/>
  </r>
  <r>
    <x v="3"/>
    <x v="21"/>
    <x v="1"/>
    <m/>
    <n v="2"/>
    <x v="0"/>
    <m/>
    <m/>
    <x v="0"/>
    <m/>
    <x v="0"/>
  </r>
  <r>
    <x v="3"/>
    <x v="22"/>
    <x v="1"/>
    <m/>
    <n v="3"/>
    <x v="0"/>
    <m/>
    <m/>
    <x v="0"/>
    <m/>
    <x v="0"/>
  </r>
  <r>
    <x v="3"/>
    <x v="23"/>
    <x v="1"/>
    <m/>
    <n v="20"/>
    <x v="0"/>
    <m/>
    <m/>
    <x v="0"/>
    <m/>
    <x v="0"/>
  </r>
  <r>
    <x v="3"/>
    <x v="24"/>
    <x v="1"/>
    <m/>
    <n v="1"/>
    <x v="0"/>
    <m/>
    <m/>
    <x v="0"/>
    <m/>
    <x v="0"/>
  </r>
  <r>
    <x v="3"/>
    <x v="25"/>
    <x v="1"/>
    <m/>
    <n v="1"/>
    <x v="0"/>
    <m/>
    <m/>
    <x v="0"/>
    <m/>
    <x v="0"/>
  </r>
  <r>
    <x v="3"/>
    <x v="26"/>
    <x v="1"/>
    <m/>
    <n v="5"/>
    <x v="0"/>
    <m/>
    <m/>
    <x v="0"/>
    <m/>
    <x v="0"/>
  </r>
  <r>
    <x v="3"/>
    <x v="27"/>
    <x v="1"/>
    <m/>
    <n v="88"/>
    <x v="0"/>
    <m/>
    <m/>
    <x v="0"/>
    <m/>
    <x v="0"/>
  </r>
  <r>
    <x v="3"/>
    <x v="28"/>
    <x v="1"/>
    <m/>
    <n v="13"/>
    <x v="0"/>
    <m/>
    <m/>
    <x v="0"/>
    <m/>
    <x v="0"/>
  </r>
  <r>
    <x v="3"/>
    <x v="29"/>
    <x v="1"/>
    <m/>
    <n v="3"/>
    <x v="0"/>
    <m/>
    <m/>
    <x v="0"/>
    <m/>
    <x v="0"/>
  </r>
  <r>
    <x v="3"/>
    <x v="30"/>
    <x v="1"/>
    <m/>
    <n v="3"/>
    <x v="0"/>
    <m/>
    <m/>
    <x v="0"/>
    <m/>
    <x v="0"/>
  </r>
  <r>
    <x v="3"/>
    <x v="31"/>
    <x v="1"/>
    <m/>
    <n v="3"/>
    <x v="0"/>
    <m/>
    <m/>
    <x v="0"/>
    <m/>
    <x v="0"/>
  </r>
  <r>
    <x v="3"/>
    <x v="32"/>
    <x v="1"/>
    <m/>
    <n v="3"/>
    <x v="0"/>
    <m/>
    <m/>
    <x v="0"/>
    <m/>
    <x v="0"/>
  </r>
  <r>
    <x v="3"/>
    <x v="33"/>
    <x v="1"/>
    <m/>
    <n v="14"/>
    <x v="0"/>
    <m/>
    <m/>
    <x v="0"/>
    <m/>
    <x v="0"/>
  </r>
  <r>
    <x v="3"/>
    <x v="34"/>
    <x v="1"/>
    <m/>
    <n v="8"/>
    <x v="0"/>
    <m/>
    <m/>
    <x v="0"/>
    <m/>
    <x v="0"/>
  </r>
  <r>
    <x v="3"/>
    <x v="35"/>
    <x v="1"/>
    <m/>
    <n v="8"/>
    <x v="0"/>
    <m/>
    <m/>
    <x v="0"/>
    <m/>
    <x v="0"/>
  </r>
  <r>
    <x v="3"/>
    <x v="36"/>
    <x v="1"/>
    <m/>
    <n v="14"/>
    <x v="0"/>
    <m/>
    <m/>
    <x v="0"/>
    <m/>
    <x v="0"/>
  </r>
  <r>
    <x v="3"/>
    <x v="37"/>
    <x v="1"/>
    <m/>
    <n v="2"/>
    <x v="0"/>
    <m/>
    <m/>
    <x v="0"/>
    <m/>
    <x v="0"/>
  </r>
  <r>
    <x v="3"/>
    <x v="38"/>
    <x v="1"/>
    <m/>
    <n v="3"/>
    <x v="0"/>
    <m/>
    <m/>
    <x v="0"/>
    <m/>
    <x v="0"/>
  </r>
  <r>
    <x v="3"/>
    <x v="39"/>
    <x v="1"/>
    <m/>
    <n v="0.25"/>
    <x v="0"/>
    <m/>
    <m/>
    <x v="0"/>
    <m/>
    <x v="0"/>
  </r>
  <r>
    <x v="3"/>
    <x v="40"/>
    <x v="1"/>
    <m/>
    <n v="1"/>
    <x v="0"/>
    <m/>
    <m/>
    <x v="0"/>
    <m/>
    <x v="0"/>
  </r>
  <r>
    <x v="3"/>
    <x v="0"/>
    <x v="0"/>
    <s v="Zebra GK420t"/>
    <n v="1"/>
    <x v="1"/>
    <n v="0"/>
    <n v="0"/>
    <x v="2"/>
    <s v="ESTDispatch1"/>
    <x v="1"/>
  </r>
  <r>
    <x v="4"/>
    <x v="41"/>
    <x v="1"/>
    <m/>
    <n v="3"/>
    <x v="2"/>
    <m/>
    <n v="6041"/>
    <x v="3"/>
    <m/>
    <x v="0"/>
  </r>
  <r>
    <x v="4"/>
    <x v="41"/>
    <x v="1"/>
    <m/>
    <m/>
    <x v="2"/>
    <m/>
    <n v="4252"/>
    <x v="0"/>
    <m/>
    <x v="0"/>
  </r>
  <r>
    <x v="4"/>
    <x v="41"/>
    <x v="1"/>
    <m/>
    <m/>
    <x v="3"/>
    <m/>
    <n v="3495"/>
    <x v="4"/>
    <m/>
    <x v="0"/>
  </r>
  <r>
    <x v="5"/>
    <x v="42"/>
    <x v="1"/>
    <m/>
    <m/>
    <x v="4"/>
    <m/>
    <n v="17264"/>
    <x v="5"/>
    <m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G1:K12" firstHeaderRow="1" firstDataRow="1" firstDataCol="5"/>
  <pivotFields count="13">
    <pivotField axis="axisRow" showDropDowns="1" compact="0" numFmtId="14" outline="0" subtotalTop="0" dragToRow="1" dragToCol="1" dragToPage="1" dragToData="1" dragOff="1" showAll="0" topAutoShow="1" itemPageCount="10" sortType="manual" defaultSubtotal="0">
      <items count="10">
        <item t="data" sd="1" x="0"/>
        <item t="data" sd="1" x="1"/>
        <item t="data" sd="1" x="2"/>
        <item t="data" sd="1" x="3"/>
        <item t="data" sd="1" m="1" x="7"/>
        <item t="data" sd="1" m="1" x="8"/>
        <item t="data" sd="1" x="4"/>
        <item t="data" sd="1" m="1" x="9"/>
        <item t="data" sd="1" m="1" x="6"/>
        <item t="data" sd="1" x="5"/>
      </items>
    </pivotField>
    <pivotField axis="axisRow" showDropDowns="1" compact="0" outline="0" subtotalTop="0" dragToRow="1" dragToCol="1" dragToPage="1" dragToData="1" dragOff="1" showAll="0" topAutoShow="1" itemPageCount="10" sortType="ascending" defaultSubtotal="0">
      <items count="44">
        <item t="data" h="1" sd="1" x="17"/>
        <item t="data" h="1" sd="1" x="24"/>
        <item t="data" h="1" sd="1" x="16"/>
        <item t="data" h="1" sd="1" x="9"/>
        <item t="data" h="1" sd="1" x="35"/>
        <item t="data" h="1" sd="1" x="34"/>
        <item t="data" h="1" sd="1" x="33"/>
        <item t="data" h="1" sd="1" x="26"/>
        <item t="data" h="1" sd="1" x="7"/>
        <item t="data" h="1" sd="1" x="12"/>
        <item t="data" h="1" sd="1" x="13"/>
        <item t="data" sd="1" x="0"/>
        <item t="data" h="1" sd="1" x="25"/>
        <item t="data" h="1" sd="1" x="38"/>
        <item t="data" h="1" sd="1" x="14"/>
        <item t="data" h="1" sd="1" x="15"/>
        <item t="data" h="1" sd="1" x="39"/>
        <item t="data" h="1" sd="1" x="41"/>
        <item t="data" h="1" sd="1" x="1"/>
        <item t="data" h="1" sd="1" x="6"/>
        <item t="data" h="1" sd="1" x="5"/>
        <item t="data" h="1" sd="1" x="28"/>
        <item t="data" h="1" sd="1" x="27"/>
        <item t="data" h="1" sd="1" x="36"/>
        <item t="data" h="1" sd="1" x="37"/>
        <item t="data" h="1" sd="1" x="11"/>
        <item t="data" h="1" sd="1" x="30"/>
        <item t="data" h="1" sd="1" x="29"/>
        <item t="data" h="1" sd="1" x="31"/>
        <item t="data" h="1" sd="1" x="32"/>
        <item t="data" h="1" sd="1" x="22"/>
        <item t="data" h="1" sd="1" x="19"/>
        <item t="data" h="1" sd="1" x="20"/>
        <item t="data" h="1" sd="1" x="21"/>
        <item t="data" h="1" sd="1" x="23"/>
        <item t="data" h="1" sd="1" x="40"/>
        <item t="data" h="1" sd="1" x="8"/>
        <item t="data" h="1" sd="1" x="10"/>
        <item t="data" h="1" sd="1" x="18"/>
        <item t="data" h="1" sd="1" x="2"/>
        <item t="data" h="1" sd="1" x="4"/>
        <item t="data" h="1" sd="1" x="3"/>
        <item t="data" h="1" sd="1" m="1" x="43"/>
        <item t="data" h="1" sd="1" x="42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41">
        <item t="data" sd="1" m="1" x="39"/>
        <item t="data" sd="1" m="1" x="40"/>
        <item t="data" sd="1" m="1" x="38"/>
        <item t="data" sd="1" m="1" x="37"/>
        <item t="data" sd="1" m="1" x="36"/>
        <item t="data" sd="1" x="3"/>
        <item t="data" sd="1" x="6"/>
        <item t="data" sd="1" x="8"/>
        <item t="data" sd="1" x="5"/>
        <item t="data" sd="1" x="4"/>
        <item t="data" sd="1" x="9"/>
        <item t="data" sd="1" x="7"/>
        <item t="data" sd="1" x="10"/>
        <item t="data" sd="1" x="2"/>
        <item t="data" sd="1" x="17"/>
        <item t="data" sd="1" x="21"/>
        <item t="data" sd="1" x="16"/>
        <item t="data" sd="1" x="0"/>
        <item t="data" sd="1" x="22"/>
        <item t="data" sd="1" x="33"/>
        <item t="data" sd="1" x="32"/>
        <item t="data" sd="1" x="11"/>
        <item t="data" sd="1" x="20"/>
        <item t="data" sd="1" x="18"/>
        <item t="data" sd="1" x="19"/>
        <item t="data" sd="1" x="34"/>
        <item t="data" sd="1" x="35"/>
        <item t="data" sd="1" x="12"/>
        <item t="data" sd="1" x="28"/>
        <item t="data" sd="1" x="26"/>
        <item t="data" sd="1" x="27"/>
        <item t="data" sd="1" x="29"/>
        <item t="data" sd="1" x="31"/>
        <item t="data" sd="1" x="25"/>
        <item t="data" sd="1" x="30"/>
        <item n=" " t="data" sd="1" x="1"/>
        <item t="data" sd="1" x="13"/>
        <item t="data" sd="1" x="14"/>
        <item t="data" sd="1" x="15"/>
        <item t="data" sd="1" x="23"/>
        <item t="data" sd="1" x="24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9">
        <item t="data" sd="1" x="1"/>
        <item t="data" sd="1" x="3"/>
        <item t="data" sd="1" x="2"/>
        <item t="data" sd="1" x="0"/>
        <item t="data" sd="1" m="1" x="7"/>
        <item t="data" sd="1" m="1" x="6"/>
        <item n=" " t="data" sd="1" m="1" x="8"/>
        <item t="data" sd="1" x="4"/>
        <item t="data" sd="1" x="5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>
      <items count="36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</items>
    </pivotField>
    <pivotField showDropDowns="1" compact="0" outline="0" subtotalTop="0" dragToRow="1" dragToCol="1" dragToPage="1" dragToData="1" dragOff="1" showAll="0" topAutoShow="1" itemPageCount="10" sortType="manual" defaultSubtotal="0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</items>
    </pivotField>
  </pivotFields>
  <rowFields count="5">
    <field x="1"/>
    <field x="2"/>
    <field x="0"/>
    <field x="10"/>
    <field x="8"/>
  </rowFields>
  <rowItems count="11">
    <i t="data" r="0" i="0">
      <x v="11"/>
      <x v="14"/>
      <x v="3"/>
      <x v="0"/>
      <x v="3"/>
    </i>
    <i t="data" r="1" i="0">
      <x v="15"/>
      <x v="3"/>
      <x v="0"/>
      <x v="3"/>
    </i>
    <i t="data" r="1" i="0">
      <x v="16"/>
      <x v="3"/>
      <x v="0"/>
      <x v="3"/>
    </i>
    <i t="data" r="1" i="0">
      <x v="17"/>
      <x v="0"/>
      <x v="0"/>
      <x v="3"/>
    </i>
    <i t="data" r="2" i="0">
      <x v="1"/>
      <x v="1"/>
      <x v="0"/>
    </i>
    <i t="data" r="2" i="0">
      <x v="2"/>
      <x v="0"/>
      <x v="3"/>
    </i>
    <i t="data" r="2" i="0">
      <x v="3"/>
      <x v="1"/>
      <x v="2"/>
    </i>
    <i t="data" r="1" i="0">
      <x v="18"/>
      <x v="3"/>
      <x v="0"/>
      <x v="3"/>
    </i>
    <i t="data" r="1" i="0">
      <x v="22"/>
      <x v="3"/>
      <x v="0"/>
      <x v="3"/>
    </i>
    <i t="data" r="1" i="0">
      <x v="23"/>
      <x v="3"/>
      <x v="0"/>
      <x v="3"/>
    </i>
    <i t="data" r="1" i="0">
      <x v="24"/>
      <x v="3"/>
      <x v="0"/>
      <x v="3"/>
    </i>
  </rowItems>
  <colItems count="1">
    <i t="data" r="0" i="0"/>
  </colItems>
  <formats count="2">
    <format action="formatting" dxfId="10">
      <pivotArea field="2" type="button" dataOnly="0" labelOnly="1" outline="0" axis="axisRow" fieldPosition="1"/>
    </format>
    <format action="formatting" dxfId="9">
      <pivotArea type="normal" dataOnly="0" labelOnly="1" outline="0" fieldPosition="0">
        <references count="2">
          <reference field="1" selected="0"/>
          <reference field="2">
            <x v="2"/>
            <x v="3"/>
            <x v="4"/>
          </reference>
        </references>
      </pivotArea>
    </format>
  </formats>
  <pivotTableStyleInfo name="PivotStyleMedium7" showRowHeaders="1" showColHeaders="1" showRowStripes="1" showColStripes="1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G6" firstHeaderRow="1" firstDataRow="2" firstDataCol="2"/>
  <pivotFields count="13">
    <pivotField showDropDowns="1" compact="0" numFmtId="14" outline="0" subtotalTop="0" dragToRow="1" dragToCol="1" dragToPage="1" dragToData="1" dragOff="1" showAll="0" topAutoShow="1" itemPageCount="10" sortType="manual" defaultSubtotal="0">
      <items count="10">
        <item t="data" sd="1" x="0"/>
        <item t="data" sd="1" x="1"/>
        <item t="data" sd="1" x="2"/>
        <item t="data" sd="1" x="3"/>
        <item t="data" sd="1" m="1" x="7"/>
        <item t="data" sd="1" m="1" x="8"/>
        <item t="data" sd="1" m="1" x="9"/>
        <item t="data" sd="1" x="4"/>
        <item t="data" sd="1" m="1" x="6"/>
        <item t="data" sd="1" x="5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5">
        <item t="data" h="1" sd="1" x="1"/>
        <item t="data" sd="1" x="2"/>
        <item t="data" sd="1" x="3"/>
        <item t="data" h="1" sd="1" x="0"/>
        <item t="data" sd="1" x="4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dataField="1"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1">
      <items count="10">
        <item t="data" sd="1" x="1"/>
        <item t="data" sd="1" x="3"/>
        <item t="data" sd="1" x="2"/>
        <item t="data" sd="1" x="0"/>
        <item t="data" sd="1" m="1" x="7"/>
        <item t="data" sd="1" m="1" x="6"/>
        <item t="data" sd="1" m="1" x="8"/>
        <item t="data" sd="1" x="4"/>
        <item t="data" sd="1" x="5"/>
        <item t="default" sd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36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</items>
    </pivotField>
    <pivotField showDropDowns="1" compact="0" outline="0" subtotalTop="0" dragToRow="1" dragToCol="1" dragToPage="1" dragToData="1" dragOff="1" showAll="0" topAutoShow="1" itemPageCount="10" sortType="manual" defaultSubtotal="0">
      <items count="14">
        <item t="data" h="1" sd="1" x="0"/>
        <item t="data" h="1" sd="1" x="1"/>
        <item t="data" h="1" sd="1" x="2"/>
        <item t="data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</items>
    </pivotField>
  </pivotFields>
  <rowFields count="2">
    <field x="5"/>
    <field x="11"/>
  </rowFields>
  <rowItems count="4">
    <i t="data" r="0" i="0">
      <x v="1"/>
      <x v="73"/>
    </i>
    <i t="data" r="0" i="0">
      <x v="2"/>
      <x v="73"/>
    </i>
    <i t="data" r="0" i="0">
      <x v="4"/>
      <x v="76"/>
    </i>
    <i t="grand" r="0" i="0">
      <x v="0"/>
    </i>
  </rowItems>
  <colFields count="1">
    <field x="8"/>
  </colFields>
  <colItems count="5">
    <i t="data" r="0" i="0">
      <x v="1"/>
    </i>
    <i t="data" r="0" i="0">
      <x v="3"/>
    </i>
    <i t="data" r="0" i="0">
      <x v="7"/>
    </i>
    <i t="data" r="0" i="0">
      <x v="8"/>
    </i>
    <i t="grand" r="0" i="0">
      <x v="0"/>
    </i>
  </colItems>
  <dataFields count="1">
    <dataField name=" Price excl" fld="7" subtotal="sum" showDataAs="normal" baseField="8" baseItem="3" numFmtId="42"/>
  </dataFields>
  <pivotTableStyleInfo name="PivotStyleMedium2" showRowHeaders="1" showColHeaders="1" showRowStripes="1" showColStripes="1" showLastColumn="1"/>
</pivotTableDefinition>
</file>

<file path=xl/tables/table1.xml><?xml version="1.0" encoding="utf-8"?>
<table xmlns="http://schemas.openxmlformats.org/spreadsheetml/2006/main" id="1" name="Table2" displayName="Table2" ref="B5:L79" headerRowCount="1" totalsRowShown="0" headerRowDxfId="36" tableBorderDxfId="35">
  <autoFilter ref="B5:L79"/>
  <tableColumns count="11">
    <tableColumn id="1" name="Date" dataDxfId="34"/>
    <tableColumn id="2" name="Product" dataDxfId="33"/>
    <tableColumn id="3" name="Serial Num" dataDxfId="32"/>
    <tableColumn id="4" name="Make &amp; Model" dataDxfId="31"/>
    <tableColumn id="5" name="Quantity" dataDxfId="30"/>
    <tableColumn id="6" name="Asset / Inv Num" dataDxfId="29"/>
    <tableColumn id="7" name="Capex Num" dataDxfId="28"/>
    <tableColumn id="8" name="Price excl" dataDxfId="27"/>
    <tableColumn id="9" name="Department" dataDxfId="26"/>
    <tableColumn id="10" name="PC Name" dataDxfId="25"/>
    <tableColumn id="11" name="Stock" dataDxfId="24">
      <calculatedColumnFormula>IF(Table2[[#This Row],[Date]]&lt;&gt;0,"Stock In"," 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N5:X8" headerRowCount="1" totalsRowShown="0" headerRowDxfId="23" tableBorderDxfId="22">
  <autoFilter ref="N5:X8"/>
  <tableColumns count="11">
    <tableColumn id="1" name="Date" dataDxfId="21"/>
    <tableColumn id="2" name="Product" dataDxfId="20"/>
    <tableColumn id="3" name="Serial Num" dataDxfId="19"/>
    <tableColumn id="4" name="Make &amp; Model" dataDxfId="18">
      <calculatedColumnFormula>_xlfn.IFNA(VLOOKUP(P6,$D$5:$I$99576,2,0),"")</calculatedColumnFormula>
    </tableColumn>
    <tableColumn id="5" name="Quantity" dataDxfId="17" dataCellStyle="Comma"/>
    <tableColumn id="6" name="Asset / Inv Num" dataDxfId="16" dataCellStyle="Comma">
      <calculatedColumnFormula>_xlfn.IFNA(VLOOKUP($P6,$D$5:$I$999576,4,0)," ")</calculatedColumnFormula>
    </tableColumn>
    <tableColumn id="7" name="Capex Num" dataDxfId="15" dataCellStyle="Comma">
      <calculatedColumnFormula>_xlfn.IFNA(VLOOKUP($P6,$D$5:$I$999576,5,0)," ")</calculatedColumnFormula>
    </tableColumn>
    <tableColumn id="8" name="Price excl" dataDxfId="14" dataCellStyle="Comma">
      <calculatedColumnFormula>_xlfn.IFNA(VLOOKUP($P6,$D$5:$I$999576,6,0)," ")</calculatedColumnFormula>
    </tableColumn>
    <tableColumn id="9" name="Department" dataDxfId="13"/>
    <tableColumn id="10" name="PC Name" dataDxfId="12" dataCellStyle="Comma">
      <calculatedColumnFormula>_xlfn.IFNA(VLOOKUP($P6,$D$5:$K$999576,8,0)," ")</calculatedColumnFormula>
    </tableColumn>
    <tableColumn id="11" name="Stock" dataDxfId="11">
      <calculatedColumnFormula>IF(N6&gt;0,"Stock Out"," 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G54" headerRowCount="1" totalsRowShown="0">
  <autoFilter ref="A1:G54"/>
  <tableColumns count="7">
    <tableColumn id="1" name="Product Num"/>
    <tableColumn id="2" name="Product Name"/>
    <tableColumn id="7" name="Product Group"/>
    <tableColumn id="3" name="Product Description"/>
    <tableColumn id="4" name="Supplier Product Code"/>
    <tableColumn id="5" name="Min Levels"/>
    <tableColumn id="6" name="Critical Leve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ata" displayName="tblData" ref="A1:E2" headerRowCount="1" insertRow="1" totalsRowShown="0">
  <autoFilter ref="A1:E2"/>
  <tableColumns count="5">
    <tableColumn id="1" name="ID"/>
    <tableColumn id="2" name="Name"/>
    <tableColumn id="3" name="Email"/>
    <tableColumn id="4" name="Department"/>
    <tableColumn id="5" name="Start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H49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1" sqref="B11"/>
    </sheetView>
  </sheetViews>
  <sheetFormatPr baseColWidth="8" defaultRowHeight="15" outlineLevelCol="0"/>
  <cols>
    <col width="7.140625" bestFit="1" customWidth="1" style="64" min="1" max="1"/>
    <col width="36.5703125" bestFit="1" customWidth="1" style="64" min="2" max="2"/>
    <col width="17.28515625" bestFit="1" customWidth="1" style="64" min="3" max="3"/>
    <col width="8.7109375" bestFit="1" customWidth="1" style="64" min="4" max="4"/>
    <col width="17.28515625" customWidth="1" style="64" min="5" max="8"/>
  </cols>
  <sheetData>
    <row r="2" ht="21" customHeight="1" s="64">
      <c r="A2" s="63" t="inlineStr">
        <is>
          <t>Stock on Hand  (Non stock items)</t>
        </is>
      </c>
    </row>
    <row r="3">
      <c r="A3" s="3" t="inlineStr">
        <is>
          <t>Date</t>
        </is>
      </c>
      <c r="B3" s="3" t="inlineStr">
        <is>
          <t>Product</t>
        </is>
      </c>
      <c r="C3" s="3" t="inlineStr">
        <is>
          <t>Serial Num</t>
        </is>
      </c>
      <c r="D3" s="3" t="inlineStr">
        <is>
          <t>Quantity</t>
        </is>
      </c>
      <c r="E3" s="3" t="inlineStr">
        <is>
          <t>Asset Num</t>
        </is>
      </c>
      <c r="F3" s="3" t="inlineStr">
        <is>
          <t>Capex Num</t>
        </is>
      </c>
      <c r="G3" s="3" t="inlineStr">
        <is>
          <t>Price excl</t>
        </is>
      </c>
      <c r="H3" s="3" t="inlineStr">
        <is>
          <t>Comments</t>
        </is>
      </c>
    </row>
    <row r="4">
      <c r="A4" s="8" t="n"/>
      <c r="B4" s="9" t="inlineStr">
        <is>
          <t>Kettle Cords</t>
        </is>
      </c>
      <c r="C4" s="12" t="n"/>
      <c r="D4" s="29" t="n"/>
      <c r="E4" s="9" t="n"/>
      <c r="F4" s="9" t="n"/>
      <c r="G4" s="9" t="n"/>
      <c r="H4" s="9" t="n"/>
    </row>
    <row r="5">
      <c r="A5" s="8" t="n"/>
      <c r="B5" s="35" t="inlineStr">
        <is>
          <t>Clover Power Cords</t>
        </is>
      </c>
      <c r="C5" s="12" t="n"/>
      <c r="D5" s="29" t="n"/>
      <c r="E5" s="9" t="n"/>
      <c r="F5" s="9" t="n"/>
      <c r="G5" s="9" t="n"/>
      <c r="H5" s="9" t="n"/>
    </row>
    <row r="6">
      <c r="A6" s="8" t="n"/>
      <c r="B6" s="9" t="inlineStr">
        <is>
          <t>Figure-8 Power Cords</t>
        </is>
      </c>
      <c r="C6" s="12" t="n"/>
      <c r="D6" s="29" t="n"/>
      <c r="E6" s="9" t="n"/>
      <c r="F6" s="9" t="n"/>
      <c r="G6" s="9" t="n"/>
      <c r="H6" s="9" t="n"/>
    </row>
    <row r="7">
      <c r="A7" s="8" t="n"/>
      <c r="B7" s="9" t="inlineStr">
        <is>
          <t>Extension Cords</t>
        </is>
      </c>
      <c r="C7" s="12" t="n"/>
      <c r="D7" s="10" t="n"/>
      <c r="E7" s="9" t="n"/>
      <c r="F7" s="9" t="n"/>
      <c r="G7" s="9" t="n"/>
      <c r="H7" s="9" t="n"/>
    </row>
    <row r="8">
      <c r="A8" s="8" t="n"/>
      <c r="B8" s="9" t="inlineStr">
        <is>
          <t>Multi-Plugs</t>
        </is>
      </c>
      <c r="C8" s="12" t="n"/>
      <c r="D8" s="10" t="n"/>
      <c r="E8" s="9" t="n"/>
      <c r="F8" s="9" t="n"/>
      <c r="G8" s="9" t="n"/>
      <c r="H8" s="9" t="n"/>
    </row>
    <row r="9">
      <c r="A9" s="8" t="n"/>
      <c r="B9" s="9" t="inlineStr">
        <is>
          <t>Special Cables</t>
        </is>
      </c>
      <c r="C9" s="12" t="n"/>
      <c r="D9" s="10" t="n"/>
      <c r="E9" s="9" t="n"/>
      <c r="F9" s="9" t="n"/>
      <c r="G9" s="9" t="n"/>
      <c r="H9" s="9" t="n"/>
    </row>
    <row r="10">
      <c r="A10" s="8" t="n"/>
      <c r="B10" s="9" t="inlineStr">
        <is>
          <t>VGA Cables</t>
        </is>
      </c>
      <c r="C10" s="12" t="n"/>
      <c r="D10" s="10" t="n"/>
      <c r="E10" s="9" t="n"/>
      <c r="F10" s="9" t="n"/>
      <c r="G10" s="9" t="n"/>
      <c r="H10" s="9" t="n"/>
    </row>
    <row r="11">
      <c r="A11" s="8" t="n"/>
      <c r="B11" s="9" t="inlineStr">
        <is>
          <t>Zebra Printer Power Supplies</t>
        </is>
      </c>
      <c r="C11" s="12" t="n"/>
      <c r="D11" s="10" t="n"/>
      <c r="E11" s="9" t="n"/>
      <c r="F11" s="9" t="n"/>
      <c r="G11" s="9" t="n"/>
      <c r="H11" s="9" t="n"/>
    </row>
    <row r="12">
      <c r="A12" s="8" t="n"/>
      <c r="B12" s="9" t="inlineStr">
        <is>
          <t>Laptop Power Supplies</t>
        </is>
      </c>
      <c r="C12" s="12" t="n"/>
      <c r="D12" s="10" t="n"/>
      <c r="E12" s="9" t="n"/>
      <c r="F12" s="9" t="n"/>
      <c r="G12" s="9" t="n"/>
      <c r="H12" s="9" t="n"/>
    </row>
    <row r="13">
      <c r="A13" s="8" t="n"/>
      <c r="B13" s="9" t="inlineStr">
        <is>
          <t>Monitor Power Supplies</t>
        </is>
      </c>
      <c r="C13" s="12" t="n"/>
      <c r="D13" s="10" t="n"/>
      <c r="E13" s="9" t="n"/>
      <c r="F13" s="9" t="n"/>
      <c r="G13" s="9" t="n"/>
      <c r="H13" s="9" t="n"/>
    </row>
    <row r="14">
      <c r="A14" s="8" t="n"/>
      <c r="B14" s="9" t="inlineStr">
        <is>
          <t>Zebra Printer Spare Parts</t>
        </is>
      </c>
      <c r="C14" s="12" t="n"/>
      <c r="D14" s="10" t="n"/>
      <c r="E14" s="9" t="n"/>
      <c r="F14" s="9" t="n"/>
      <c r="G14" s="9" t="n"/>
      <c r="H14" s="9" t="n"/>
    </row>
    <row r="15">
      <c r="A15" s="8" t="n"/>
      <c r="B15" s="9" t="inlineStr">
        <is>
          <t>Loop Tag Rolls</t>
        </is>
      </c>
      <c r="C15" s="12" t="n"/>
      <c r="D15" s="10" t="n"/>
      <c r="E15" s="9" t="n"/>
      <c r="F15" s="9" t="n"/>
      <c r="G15" s="9" t="n"/>
      <c r="H15" s="9" t="n"/>
    </row>
    <row r="16">
      <c r="A16" s="8" t="n"/>
      <c r="B16" s="9" t="inlineStr">
        <is>
          <t xml:space="preserve">Spare Zebra Scanners </t>
        </is>
      </c>
      <c r="C16" s="12" t="n"/>
      <c r="D16" s="10" t="n"/>
      <c r="E16" s="9" t="n"/>
      <c r="F16" s="9" t="n"/>
      <c r="G16" s="9" t="n"/>
      <c r="H16" s="9" t="n"/>
    </row>
    <row r="17">
      <c r="A17" s="8" t="n"/>
      <c r="B17" s="9" t="inlineStr">
        <is>
          <t>Zebra Scanner USB Cables</t>
        </is>
      </c>
      <c r="C17" s="12" t="n"/>
      <c r="D17" s="10" t="n"/>
      <c r="E17" s="9" t="n"/>
      <c r="F17" s="9" t="n"/>
      <c r="G17" s="9" t="n"/>
      <c r="H17" s="9" t="n"/>
    </row>
    <row r="18">
      <c r="A18" s="8" t="n"/>
      <c r="B18" s="9" t="inlineStr">
        <is>
          <t>Zebra Printer USB Cables</t>
        </is>
      </c>
      <c r="C18" s="12" t="n"/>
      <c r="D18" s="10" t="n"/>
      <c r="E18" s="9" t="n"/>
      <c r="F18" s="9" t="n"/>
      <c r="G18" s="9" t="n"/>
      <c r="H18" s="9" t="n"/>
    </row>
    <row r="19">
      <c r="A19" s="8" t="n"/>
      <c r="B19" s="9" t="inlineStr">
        <is>
          <t>1 Meter Network Cable</t>
        </is>
      </c>
      <c r="C19" s="12" t="n"/>
      <c r="D19" s="10" t="n"/>
      <c r="E19" s="9" t="n"/>
      <c r="F19" s="9" t="n"/>
      <c r="G19" s="9" t="n"/>
      <c r="H19" s="9" t="n"/>
    </row>
    <row r="20">
      <c r="A20" s="8" t="n"/>
      <c r="B20" s="9" t="inlineStr">
        <is>
          <t>3 Meter Network Cable</t>
        </is>
      </c>
      <c r="C20" s="12" t="n"/>
      <c r="D20" s="10" t="n"/>
      <c r="E20" s="9" t="n"/>
      <c r="F20" s="9" t="n"/>
      <c r="G20" s="9" t="n"/>
      <c r="H20" s="9" t="n"/>
    </row>
    <row r="21">
      <c r="A21" s="8" t="n"/>
      <c r="B21" s="9" t="inlineStr">
        <is>
          <t>5 Meter Network Cable</t>
        </is>
      </c>
      <c r="C21" s="12" t="n"/>
      <c r="D21" s="10" t="n"/>
      <c r="E21" s="9" t="n"/>
      <c r="F21" s="9" t="n"/>
      <c r="G21" s="9" t="n"/>
      <c r="H21" s="9" t="n"/>
    </row>
    <row r="22">
      <c r="A22" s="8" t="n"/>
      <c r="B22" s="9" t="inlineStr">
        <is>
          <t>AC Adaptors</t>
        </is>
      </c>
      <c r="C22" s="12" t="n"/>
      <c r="D22" s="10" t="n"/>
      <c r="E22" s="9" t="n"/>
      <c r="F22" s="9" t="n"/>
      <c r="G22" s="9" t="n"/>
      <c r="H22" s="9" t="n"/>
    </row>
    <row r="23">
      <c r="A23" s="8" t="n"/>
      <c r="B23" s="9" t="inlineStr">
        <is>
          <t>Clover Power Cords</t>
        </is>
      </c>
      <c r="C23" s="12" t="n"/>
      <c r="D23" s="10" t="n"/>
      <c r="E23" s="9" t="n"/>
      <c r="F23" s="9" t="n"/>
      <c r="G23" s="9" t="n"/>
      <c r="H23" s="9" t="n"/>
    </row>
    <row r="24">
      <c r="A24" s="8" t="n"/>
      <c r="B24" s="9" t="inlineStr">
        <is>
          <t>Figure-8 Power Cords</t>
        </is>
      </c>
      <c r="C24" s="11" t="n"/>
      <c r="D24" s="10" t="n"/>
      <c r="E24" s="9" t="n"/>
      <c r="F24" s="9" t="n"/>
      <c r="G24" s="9" t="n"/>
      <c r="H24" s="9" t="n"/>
    </row>
    <row r="25">
      <c r="A25" s="8" t="n"/>
      <c r="B25" s="9" t="inlineStr">
        <is>
          <t>Sticker Label Roll</t>
        </is>
      </c>
      <c r="C25" s="11" t="n"/>
      <c r="D25" s="10" t="n"/>
      <c r="E25" s="9" t="n"/>
      <c r="F25" s="9" t="n"/>
      <c r="G25" s="9" t="n"/>
      <c r="H25" s="9" t="n"/>
    </row>
    <row r="26">
      <c r="A26" s="8" t="n"/>
      <c r="B26" s="9" t="n"/>
      <c r="C26" s="11" t="n"/>
      <c r="D26" s="10" t="n"/>
      <c r="E26" s="9" t="n"/>
      <c r="F26" s="9" t="n"/>
      <c r="G26" s="9" t="n"/>
      <c r="H26" s="9" t="n"/>
    </row>
    <row r="27">
      <c r="A27" s="8" t="n"/>
      <c r="B27" s="9" t="n"/>
      <c r="C27" s="11" t="n"/>
      <c r="D27" s="10" t="n"/>
      <c r="E27" s="9" t="n"/>
      <c r="F27" s="9" t="n"/>
      <c r="G27" s="9" t="n"/>
      <c r="H27" s="9" t="n"/>
    </row>
    <row r="28">
      <c r="A28" s="8" t="n"/>
      <c r="B28" s="9" t="n"/>
      <c r="C28" s="11" t="n"/>
      <c r="D28" s="10" t="n"/>
      <c r="E28" s="9" t="n"/>
      <c r="F28" s="9" t="n"/>
      <c r="G28" s="9" t="n"/>
      <c r="H28" s="9" t="n"/>
    </row>
    <row r="29">
      <c r="A29" s="8" t="n"/>
      <c r="B29" s="9" t="n"/>
      <c r="C29" s="11" t="n"/>
      <c r="D29" s="10" t="n"/>
      <c r="E29" s="9" t="n"/>
      <c r="F29" s="9" t="n"/>
      <c r="G29" s="9" t="n"/>
      <c r="H29" s="9" t="n"/>
    </row>
    <row r="30">
      <c r="A30" s="8" t="n"/>
      <c r="B30" s="9" t="n"/>
      <c r="C30" s="11" t="n"/>
      <c r="D30" s="10" t="n"/>
      <c r="E30" s="9" t="n"/>
      <c r="F30" s="9" t="n"/>
      <c r="G30" s="9" t="n"/>
      <c r="H30" s="9" t="n"/>
    </row>
    <row r="31">
      <c r="A31" s="8" t="n"/>
      <c r="B31" s="9" t="n"/>
      <c r="C31" s="11" t="n"/>
      <c r="D31" s="10" t="n"/>
      <c r="E31" s="9" t="n"/>
      <c r="F31" s="9" t="n"/>
      <c r="G31" s="9" t="n"/>
      <c r="H31" s="9" t="n"/>
    </row>
    <row r="32">
      <c r="A32" s="8" t="n"/>
      <c r="B32" s="9" t="n"/>
      <c r="C32" s="11" t="n"/>
      <c r="D32" s="10" t="n"/>
      <c r="E32" s="9" t="n"/>
      <c r="F32" s="9" t="n"/>
      <c r="G32" s="9" t="n"/>
      <c r="H32" s="9" t="n"/>
    </row>
    <row r="33">
      <c r="A33" s="8" t="n"/>
      <c r="B33" s="9" t="n"/>
      <c r="C33" s="11" t="n"/>
      <c r="D33" s="10" t="n"/>
      <c r="E33" s="9" t="n"/>
      <c r="F33" s="9" t="n"/>
      <c r="G33" s="9" t="n"/>
      <c r="H33" s="9" t="n"/>
    </row>
    <row r="34">
      <c r="A34" s="8" t="n"/>
      <c r="B34" s="9" t="n"/>
      <c r="C34" s="11" t="n"/>
      <c r="D34" s="10" t="n"/>
      <c r="E34" s="9" t="n"/>
      <c r="F34" s="9" t="n"/>
      <c r="G34" s="9" t="n"/>
      <c r="H34" s="9" t="n"/>
    </row>
    <row r="35">
      <c r="A35" s="8" t="n"/>
      <c r="B35" s="9" t="n"/>
      <c r="C35" s="11" t="n"/>
      <c r="D35" s="10" t="n"/>
      <c r="E35" s="9" t="n"/>
      <c r="F35" s="9" t="n"/>
      <c r="G35" s="9" t="n"/>
      <c r="H35" s="9" t="n"/>
    </row>
    <row r="36">
      <c r="A36" s="8" t="n"/>
      <c r="B36" s="9" t="n"/>
      <c r="C36" s="11" t="n"/>
      <c r="D36" s="10" t="n"/>
      <c r="E36" s="9" t="n"/>
      <c r="F36" s="9" t="n"/>
      <c r="G36" s="9" t="n"/>
      <c r="H36" s="9" t="n"/>
    </row>
    <row r="37">
      <c r="A37" s="8" t="n"/>
      <c r="B37" s="9" t="n"/>
      <c r="C37" s="11" t="n"/>
      <c r="D37" s="10" t="n"/>
      <c r="E37" s="9" t="n"/>
      <c r="F37" s="9" t="n"/>
      <c r="G37" s="9" t="n"/>
      <c r="H37" s="9" t="n"/>
    </row>
    <row r="38">
      <c r="A38" s="8" t="n"/>
      <c r="B38" s="9" t="n"/>
      <c r="C38" s="12" t="n"/>
      <c r="D38" s="10" t="n"/>
      <c r="E38" s="9" t="n"/>
      <c r="F38" s="9" t="n"/>
      <c r="G38" s="9" t="n"/>
      <c r="H38" s="9" t="n"/>
    </row>
    <row r="39">
      <c r="A39" s="8" t="n"/>
      <c r="B39" s="9" t="n"/>
      <c r="C39" s="12" t="n"/>
      <c r="D39" s="10" t="n"/>
      <c r="E39" s="9" t="n"/>
      <c r="F39" s="9" t="n"/>
      <c r="G39" s="9" t="n"/>
      <c r="H39" s="9" t="n"/>
    </row>
    <row r="40">
      <c r="A40" s="8" t="n"/>
      <c r="B40" s="9" t="n"/>
      <c r="C40" s="12" t="n"/>
      <c r="D40" s="10" t="n"/>
      <c r="E40" s="9" t="n"/>
      <c r="F40" s="9" t="n"/>
      <c r="G40" s="9" t="n"/>
      <c r="H40" s="9" t="n"/>
    </row>
    <row r="41">
      <c r="A41" s="8" t="n"/>
      <c r="B41" s="9" t="n"/>
      <c r="C41" s="12" t="n"/>
      <c r="D41" s="10" t="n"/>
      <c r="E41" s="9" t="n"/>
      <c r="F41" s="9" t="n"/>
      <c r="G41" s="9" t="n"/>
      <c r="H41" s="9" t="n"/>
    </row>
    <row r="42">
      <c r="A42" s="8" t="n"/>
      <c r="B42" s="9" t="n"/>
      <c r="C42" s="12" t="n"/>
      <c r="D42" s="10" t="n"/>
      <c r="E42" s="9" t="n"/>
      <c r="F42" s="9" t="n"/>
      <c r="G42" s="9" t="n"/>
      <c r="H42" s="9" t="n"/>
    </row>
    <row r="43">
      <c r="A43" s="8" t="n"/>
      <c r="B43" s="9" t="n"/>
      <c r="C43" s="12" t="n"/>
      <c r="D43" s="10" t="n"/>
      <c r="E43" s="9" t="n"/>
      <c r="F43" s="9" t="n"/>
      <c r="G43" s="9" t="n"/>
      <c r="H43" s="9" t="n"/>
    </row>
    <row r="44">
      <c r="A44" s="8" t="n"/>
      <c r="B44" s="9" t="n"/>
      <c r="C44" s="12" t="n"/>
      <c r="D44" s="10" t="n"/>
      <c r="E44" s="9" t="n"/>
      <c r="F44" s="9" t="n"/>
      <c r="G44" s="9" t="n"/>
      <c r="H44" s="9" t="n"/>
    </row>
    <row r="45">
      <c r="A45" s="8" t="n"/>
      <c r="B45" s="9" t="n"/>
      <c r="C45" s="12" t="n"/>
      <c r="D45" s="10" t="n"/>
      <c r="E45" s="9" t="n"/>
      <c r="F45" s="9" t="n"/>
      <c r="G45" s="9" t="n"/>
      <c r="H45" s="9" t="n"/>
    </row>
    <row r="46">
      <c r="A46" s="8" t="n"/>
      <c r="B46" s="9" t="n"/>
      <c r="C46" s="12" t="n"/>
      <c r="D46" s="10" t="n"/>
      <c r="E46" s="9" t="n"/>
      <c r="F46" s="9" t="n"/>
      <c r="G46" s="9" t="n"/>
      <c r="H46" s="9" t="n"/>
    </row>
    <row r="47">
      <c r="A47" s="8" t="n"/>
      <c r="B47" s="9" t="n"/>
      <c r="C47" s="12" t="n"/>
      <c r="D47" s="10" t="n"/>
      <c r="E47" s="9" t="n"/>
      <c r="F47" s="9" t="n"/>
      <c r="G47" s="9" t="n"/>
      <c r="H47" s="9" t="n"/>
    </row>
    <row r="48">
      <c r="A48" s="8" t="n"/>
      <c r="B48" s="9" t="n"/>
      <c r="C48" s="12" t="n"/>
      <c r="D48" s="10" t="n"/>
      <c r="E48" s="9" t="n"/>
      <c r="F48" s="9" t="n"/>
      <c r="G48" s="9" t="n"/>
      <c r="H48" s="9" t="n"/>
    </row>
    <row r="49">
      <c r="A49" s="8" t="n"/>
      <c r="B49" s="9" t="n"/>
      <c r="D49" s="10" t="n"/>
      <c r="E49" s="9" t="n"/>
      <c r="F49" s="9" t="n"/>
      <c r="G49" s="9" t="n"/>
      <c r="H49" s="9" t="n"/>
    </row>
    <row r="50">
      <c r="A50" s="8" t="n"/>
      <c r="B50" s="9" t="n"/>
      <c r="C50" s="12" t="n"/>
      <c r="D50" s="10" t="n"/>
      <c r="E50" s="9" t="n"/>
      <c r="F50" s="9" t="n"/>
      <c r="G50" s="9" t="n"/>
      <c r="H50" s="9" t="n"/>
    </row>
    <row r="51">
      <c r="A51" s="8" t="n"/>
      <c r="B51" s="9" t="n"/>
      <c r="C51" s="12" t="n"/>
      <c r="D51" s="10" t="n"/>
      <c r="E51" s="9" t="n"/>
      <c r="F51" s="9" t="n"/>
      <c r="G51" s="9" t="n"/>
      <c r="H51" s="9" t="n"/>
    </row>
    <row r="52">
      <c r="A52" s="8" t="n"/>
      <c r="B52" s="9" t="n"/>
      <c r="C52" s="12" t="n"/>
      <c r="D52" s="10" t="n"/>
      <c r="E52" s="9" t="n"/>
      <c r="F52" s="9" t="n"/>
      <c r="G52" s="9" t="n"/>
      <c r="H52" s="9" t="n"/>
    </row>
    <row r="53">
      <c r="A53" s="8" t="n"/>
      <c r="B53" s="9" t="n"/>
      <c r="C53" s="12" t="n"/>
      <c r="D53" s="10" t="n"/>
      <c r="E53" s="9" t="n"/>
      <c r="F53" s="9" t="n"/>
      <c r="G53" s="9" t="n"/>
      <c r="H53" s="9" t="n"/>
    </row>
    <row r="54">
      <c r="A54" s="8" t="n"/>
      <c r="B54" s="9" t="n"/>
      <c r="C54" s="12" t="n"/>
      <c r="D54" s="10" t="n"/>
      <c r="E54" s="9" t="n"/>
      <c r="F54" s="9" t="n"/>
      <c r="G54" s="9" t="n"/>
      <c r="H54" s="9" t="n"/>
    </row>
    <row r="55">
      <c r="A55" s="8" t="n"/>
      <c r="B55" s="9" t="n"/>
      <c r="C55" s="11" t="n"/>
      <c r="D55" s="10" t="n"/>
      <c r="E55" s="9" t="n"/>
      <c r="F55" s="9" t="n"/>
      <c r="G55" s="9" t="n"/>
      <c r="H55" s="9" t="n"/>
    </row>
    <row r="56">
      <c r="A56" s="8" t="n"/>
      <c r="B56" s="9" t="n"/>
      <c r="C56" s="12" t="n"/>
      <c r="D56" s="10" t="n"/>
      <c r="E56" s="9" t="n"/>
      <c r="F56" s="9" t="n"/>
      <c r="G56" s="9" t="n"/>
      <c r="H56" s="9" t="n"/>
    </row>
    <row r="57">
      <c r="A57" s="8" t="n"/>
      <c r="B57" s="9" t="n"/>
      <c r="C57" s="12" t="n"/>
      <c r="D57" s="10" t="n"/>
      <c r="E57" s="9" t="n"/>
      <c r="F57" s="9" t="n"/>
      <c r="G57" s="9" t="n"/>
      <c r="H57" s="9" t="n"/>
    </row>
    <row r="58">
      <c r="A58" s="8" t="n"/>
      <c r="B58" s="9" t="n"/>
      <c r="C58" s="12" t="n"/>
      <c r="D58" s="10" t="n"/>
      <c r="E58" s="9" t="n"/>
      <c r="F58" s="9" t="n"/>
      <c r="G58" s="9" t="n"/>
      <c r="H58" s="9" t="n"/>
    </row>
    <row r="59">
      <c r="A59" s="8" t="n"/>
      <c r="B59" s="9" t="n"/>
      <c r="C59" s="12" t="n"/>
      <c r="D59" s="10" t="n"/>
      <c r="E59" s="9" t="n"/>
      <c r="F59" s="9" t="n"/>
      <c r="G59" s="9" t="n"/>
      <c r="H59" s="9" t="n"/>
    </row>
    <row r="60">
      <c r="A60" s="8" t="n"/>
      <c r="B60" s="9" t="n"/>
      <c r="C60" s="12" t="n"/>
      <c r="D60" s="10" t="n"/>
      <c r="E60" s="9" t="n"/>
      <c r="F60" s="9" t="n"/>
      <c r="G60" s="9" t="n"/>
      <c r="H60" s="9" t="n"/>
    </row>
    <row r="61">
      <c r="A61" s="8" t="n"/>
      <c r="B61" s="9" t="n"/>
      <c r="C61" s="12" t="n"/>
      <c r="D61" s="10" t="n"/>
      <c r="E61" s="9" t="n"/>
      <c r="F61" s="9" t="n"/>
      <c r="G61" s="9" t="n"/>
      <c r="H61" s="9" t="n"/>
    </row>
    <row r="62">
      <c r="A62" s="8" t="n"/>
      <c r="B62" s="9" t="n"/>
      <c r="C62" s="12" t="n"/>
      <c r="D62" s="10" t="n"/>
      <c r="E62" s="9" t="n"/>
      <c r="F62" s="9" t="n"/>
      <c r="G62" s="9" t="n"/>
      <c r="H62" s="9" t="n"/>
    </row>
    <row r="63">
      <c r="A63" s="8" t="n"/>
      <c r="B63" s="9" t="n"/>
      <c r="C63" s="12" t="n"/>
      <c r="D63" s="10" t="n"/>
      <c r="E63" s="9" t="n"/>
      <c r="F63" s="9" t="n"/>
      <c r="G63" s="9" t="n"/>
      <c r="H63" s="9" t="n"/>
    </row>
    <row r="64">
      <c r="A64" s="8" t="n"/>
      <c r="B64" s="9" t="n"/>
      <c r="C64" s="12" t="n"/>
      <c r="D64" s="10" t="n"/>
      <c r="E64" s="9" t="n"/>
      <c r="F64" s="9" t="n"/>
      <c r="G64" s="9" t="n"/>
      <c r="H64" s="9" t="n"/>
    </row>
    <row r="65">
      <c r="A65" s="8" t="n"/>
      <c r="B65" s="9" t="n"/>
      <c r="C65" s="12" t="n"/>
      <c r="D65" s="10" t="n"/>
      <c r="E65" s="9" t="n"/>
      <c r="F65" s="9" t="n"/>
      <c r="G65" s="9" t="n"/>
      <c r="H65" s="9" t="n"/>
    </row>
    <row r="66">
      <c r="A66" s="8" t="n"/>
      <c r="B66" s="9" t="n"/>
      <c r="C66" s="12" t="n"/>
      <c r="D66" s="10" t="n"/>
      <c r="E66" s="9" t="n"/>
      <c r="F66" s="9" t="n"/>
      <c r="G66" s="9" t="n"/>
      <c r="H66" s="9" t="n"/>
    </row>
    <row r="67">
      <c r="A67" s="8" t="n"/>
      <c r="B67" s="9" t="n"/>
      <c r="C67" s="12" t="n"/>
      <c r="D67" s="10" t="n"/>
      <c r="E67" s="9" t="n"/>
      <c r="F67" s="9" t="n"/>
      <c r="G67" s="9" t="n"/>
      <c r="H67" s="9" t="n"/>
    </row>
    <row r="68">
      <c r="A68" s="8" t="n"/>
      <c r="B68" s="9" t="n"/>
      <c r="C68" s="12" t="n"/>
      <c r="D68" s="10" t="n"/>
      <c r="E68" s="9" t="n"/>
      <c r="F68" s="9" t="n"/>
      <c r="G68" s="9" t="n"/>
      <c r="H68" s="9" t="n"/>
    </row>
    <row r="69">
      <c r="A69" s="8" t="n"/>
      <c r="B69" s="9" t="n"/>
      <c r="C69" s="12" t="n"/>
      <c r="D69" s="10" t="n"/>
      <c r="E69" s="9" t="n"/>
      <c r="F69" s="9" t="n"/>
      <c r="G69" s="9" t="n"/>
      <c r="H69" s="9" t="n"/>
    </row>
    <row r="70">
      <c r="A70" s="8" t="n"/>
      <c r="B70" s="9" t="n"/>
      <c r="C70" s="12" t="n"/>
      <c r="D70" s="10" t="n"/>
      <c r="E70" s="9" t="n"/>
      <c r="F70" s="9" t="n"/>
      <c r="G70" s="9" t="n"/>
      <c r="H70" s="9" t="n"/>
    </row>
    <row r="71">
      <c r="A71" s="8" t="n"/>
      <c r="B71" s="9" t="n"/>
      <c r="C71" s="12" t="n"/>
      <c r="D71" s="10" t="n"/>
      <c r="E71" s="9" t="n"/>
      <c r="F71" s="9" t="n"/>
      <c r="G71" s="9" t="n"/>
      <c r="H71" s="9" t="n"/>
    </row>
    <row r="72">
      <c r="A72" s="8" t="n"/>
      <c r="B72" s="9" t="n"/>
      <c r="C72" s="12" t="n"/>
      <c r="D72" s="10" t="n"/>
      <c r="E72" s="9" t="n"/>
      <c r="F72" s="9" t="n"/>
      <c r="G72" s="9" t="n"/>
      <c r="H72" s="9" t="n"/>
    </row>
    <row r="73">
      <c r="A73" s="8" t="n"/>
      <c r="B73" s="9" t="n"/>
      <c r="C73" s="12" t="n"/>
      <c r="D73" s="10" t="n"/>
      <c r="E73" s="9" t="n"/>
      <c r="F73" s="9" t="n"/>
      <c r="G73" s="9" t="n"/>
      <c r="H73" s="9" t="n"/>
    </row>
    <row r="74">
      <c r="A74" s="8" t="n"/>
      <c r="B74" s="9" t="n"/>
      <c r="C74" s="12" t="n"/>
      <c r="D74" s="10" t="n"/>
      <c r="E74" s="9" t="n"/>
      <c r="F74" s="9" t="n"/>
      <c r="G74" s="9" t="n"/>
      <c r="H74" s="9" t="n"/>
    </row>
    <row r="75">
      <c r="A75" s="8" t="n"/>
      <c r="B75" s="9" t="n"/>
      <c r="C75" s="12" t="n"/>
      <c r="D75" s="10" t="n"/>
      <c r="E75" s="9" t="n"/>
      <c r="F75" s="9" t="n"/>
      <c r="G75" s="9" t="n"/>
      <c r="H75" s="9" t="n"/>
    </row>
    <row r="76">
      <c r="A76" s="8" t="n"/>
      <c r="B76" s="9" t="n"/>
      <c r="C76" s="12" t="n"/>
      <c r="D76" s="10" t="n"/>
      <c r="E76" s="9" t="n"/>
      <c r="F76" s="9" t="n"/>
      <c r="G76" s="9" t="n"/>
      <c r="H76" s="9" t="n"/>
    </row>
    <row r="77">
      <c r="A77" s="8" t="n"/>
      <c r="B77" s="9" t="n"/>
      <c r="C77" s="12" t="n"/>
      <c r="D77" s="10" t="n"/>
      <c r="E77" s="9" t="n"/>
      <c r="F77" s="9" t="n"/>
      <c r="G77" s="9" t="n"/>
      <c r="H77" s="9" t="n"/>
    </row>
    <row r="78">
      <c r="A78" s="8" t="n"/>
      <c r="B78" s="9" t="n"/>
      <c r="C78" s="12" t="n"/>
      <c r="D78" s="10" t="n"/>
      <c r="E78" s="9" t="n"/>
      <c r="F78" s="9" t="n"/>
      <c r="G78" s="9" t="n"/>
      <c r="H78" s="9" t="n"/>
    </row>
    <row r="79">
      <c r="A79" s="8" t="n"/>
      <c r="B79" s="9" t="n"/>
      <c r="C79" s="9" t="n"/>
      <c r="D79" s="10" t="n"/>
      <c r="E79" s="9" t="n"/>
      <c r="F79" s="9" t="n"/>
      <c r="G79" s="9" t="n"/>
      <c r="H79" s="9" t="n"/>
    </row>
    <row r="80">
      <c r="A80" s="8" t="n"/>
      <c r="B80" s="9" t="n"/>
      <c r="C80" s="9" t="n"/>
      <c r="D80" s="10" t="n"/>
      <c r="E80" s="9" t="n"/>
      <c r="F80" s="9" t="n"/>
      <c r="G80" s="9" t="n"/>
      <c r="H80" s="9" t="n"/>
    </row>
    <row r="81">
      <c r="A81" s="8" t="n"/>
      <c r="B81" s="9" t="n"/>
      <c r="C81" s="9" t="n"/>
      <c r="D81" s="10" t="n"/>
      <c r="E81" s="9" t="n"/>
      <c r="F81" s="9" t="n"/>
      <c r="G81" s="9" t="n"/>
      <c r="H81" s="9" t="n"/>
    </row>
    <row r="82">
      <c r="A82" s="8" t="n"/>
      <c r="B82" s="9" t="n"/>
      <c r="C82" s="9" t="n"/>
      <c r="D82" s="10" t="n"/>
      <c r="E82" s="9" t="n"/>
      <c r="F82" s="9" t="n"/>
      <c r="G82" s="9" t="n"/>
      <c r="H82" s="9" t="n"/>
    </row>
    <row r="83">
      <c r="A83" s="8" t="n"/>
      <c r="B83" s="9" t="n"/>
      <c r="C83" s="9" t="n"/>
      <c r="D83" s="10" t="n"/>
      <c r="E83" s="9" t="n"/>
      <c r="F83" s="9" t="n"/>
      <c r="G83" s="9" t="n"/>
      <c r="H83" s="9" t="n"/>
    </row>
    <row r="84">
      <c r="A84" s="8" t="n"/>
      <c r="B84" s="9" t="n"/>
      <c r="C84" s="9" t="n"/>
      <c r="D84" s="10" t="n"/>
      <c r="E84" s="9" t="n"/>
      <c r="F84" s="9" t="n"/>
      <c r="G84" s="9" t="n"/>
      <c r="H84" s="9" t="n"/>
    </row>
    <row r="85">
      <c r="A85" s="8" t="n"/>
      <c r="B85" s="9" t="n"/>
      <c r="C85" s="9" t="n"/>
      <c r="D85" s="10" t="n"/>
      <c r="E85" s="9" t="n"/>
      <c r="F85" s="9" t="n"/>
      <c r="G85" s="9" t="n"/>
      <c r="H85" s="9" t="n"/>
    </row>
    <row r="86">
      <c r="A86" s="8" t="n"/>
      <c r="B86" s="9" t="n"/>
      <c r="C86" s="9" t="n"/>
      <c r="D86" s="10" t="n"/>
      <c r="E86" s="9" t="n"/>
      <c r="F86" s="9" t="n"/>
      <c r="G86" s="9" t="n"/>
      <c r="H86" s="9" t="n"/>
    </row>
    <row r="87">
      <c r="A87" s="8" t="n"/>
      <c r="B87" s="9" t="n"/>
      <c r="C87" s="9" t="n"/>
      <c r="D87" s="10" t="n"/>
      <c r="E87" s="9" t="n"/>
      <c r="F87" s="9" t="n"/>
      <c r="G87" s="9" t="n"/>
      <c r="H87" s="9" t="n"/>
    </row>
    <row r="88">
      <c r="A88" s="8" t="n"/>
      <c r="B88" s="9" t="n"/>
      <c r="C88" s="9" t="n"/>
      <c r="D88" s="10" t="n"/>
      <c r="E88" s="9" t="n"/>
      <c r="F88" s="9" t="n"/>
      <c r="G88" s="9" t="n"/>
      <c r="H88" s="9" t="n"/>
    </row>
    <row r="89">
      <c r="A89" s="8" t="n"/>
      <c r="B89" s="9" t="n"/>
      <c r="C89" s="9" t="n"/>
      <c r="D89" s="10" t="n"/>
      <c r="E89" s="9" t="n"/>
      <c r="F89" s="9" t="n"/>
      <c r="G89" s="9" t="n"/>
      <c r="H89" s="9" t="n"/>
    </row>
    <row r="90">
      <c r="A90" s="8" t="n"/>
      <c r="B90" s="9" t="n"/>
      <c r="C90" s="9" t="n"/>
      <c r="D90" s="10" t="n"/>
      <c r="E90" s="9" t="n"/>
      <c r="F90" s="9" t="n"/>
      <c r="G90" s="9" t="n"/>
      <c r="H90" s="9" t="n"/>
    </row>
    <row r="91">
      <c r="A91" s="8" t="n"/>
      <c r="B91" s="9" t="n"/>
      <c r="C91" s="9" t="n"/>
      <c r="D91" s="10" t="n"/>
      <c r="E91" s="9" t="n"/>
      <c r="F91" s="9" t="n"/>
      <c r="G91" s="9" t="n"/>
      <c r="H91" s="9" t="n"/>
    </row>
    <row r="92">
      <c r="A92" s="8" t="n"/>
      <c r="B92" s="9" t="n"/>
      <c r="C92" s="9" t="n"/>
      <c r="D92" s="10" t="n"/>
      <c r="E92" s="9" t="n"/>
      <c r="F92" s="9" t="n"/>
      <c r="G92" s="9" t="n"/>
      <c r="H92" s="9" t="n"/>
    </row>
    <row r="93">
      <c r="A93" s="8" t="n"/>
      <c r="B93" s="9" t="n"/>
      <c r="C93" s="9" t="n"/>
      <c r="D93" s="10" t="n"/>
      <c r="E93" s="9" t="n"/>
      <c r="F93" s="9" t="n"/>
      <c r="G93" s="9" t="n"/>
      <c r="H93" s="9" t="n"/>
    </row>
    <row r="94">
      <c r="A94" s="8" t="n"/>
      <c r="B94" s="9" t="n"/>
      <c r="C94" s="9" t="n"/>
      <c r="D94" s="10" t="n"/>
      <c r="E94" s="9" t="n"/>
      <c r="F94" s="9" t="n"/>
      <c r="G94" s="9" t="n"/>
      <c r="H94" s="9" t="n"/>
    </row>
    <row r="95">
      <c r="A95" s="8" t="n"/>
      <c r="B95" s="9" t="n"/>
      <c r="C95" s="9" t="n"/>
      <c r="D95" s="10" t="n"/>
      <c r="E95" s="9" t="n"/>
      <c r="F95" s="9" t="n"/>
      <c r="G95" s="9" t="n"/>
      <c r="H95" s="9" t="n"/>
    </row>
    <row r="96">
      <c r="A96" s="8" t="n"/>
      <c r="B96" s="9" t="n"/>
      <c r="C96" s="9" t="n"/>
      <c r="D96" s="10" t="n"/>
      <c r="E96" s="9" t="n"/>
      <c r="F96" s="9" t="n"/>
      <c r="G96" s="9" t="n"/>
      <c r="H96" s="9" t="n"/>
    </row>
    <row r="97">
      <c r="A97" s="8" t="n"/>
      <c r="B97" s="9" t="n"/>
      <c r="C97" s="9" t="n"/>
      <c r="D97" s="10" t="n"/>
      <c r="E97" s="9" t="n"/>
      <c r="F97" s="9" t="n"/>
      <c r="G97" s="9" t="n"/>
      <c r="H97" s="9" t="n"/>
    </row>
    <row r="98">
      <c r="A98" s="8" t="n"/>
      <c r="B98" s="9" t="n"/>
      <c r="C98" s="9" t="n"/>
      <c r="D98" s="10" t="n"/>
      <c r="E98" s="9" t="n"/>
      <c r="F98" s="9" t="n"/>
      <c r="G98" s="9" t="n"/>
      <c r="H98" s="9" t="n"/>
    </row>
    <row r="99">
      <c r="A99" s="8" t="n"/>
      <c r="B99" s="9" t="n"/>
      <c r="C99" s="9" t="n"/>
      <c r="D99" s="10" t="n"/>
      <c r="E99" s="9" t="n"/>
      <c r="F99" s="9" t="n"/>
      <c r="G99" s="9" t="n"/>
      <c r="H99" s="9" t="n"/>
    </row>
    <row r="100">
      <c r="A100" s="8" t="n"/>
      <c r="B100" s="9" t="n"/>
      <c r="C100" s="9" t="n"/>
      <c r="D100" s="10" t="n"/>
      <c r="E100" s="9" t="n"/>
      <c r="F100" s="9" t="n"/>
      <c r="G100" s="9" t="n"/>
      <c r="H100" s="9" t="n"/>
    </row>
    <row r="101">
      <c r="A101" s="8" t="n"/>
      <c r="B101" s="9" t="n"/>
      <c r="C101" s="9" t="n"/>
      <c r="D101" s="10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10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10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10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10" t="n"/>
      <c r="E105" s="9" t="n"/>
      <c r="F105" s="9" t="n"/>
      <c r="G105" s="9" t="n"/>
      <c r="H105" s="9" t="n"/>
    </row>
    <row r="106">
      <c r="A106" s="9" t="n"/>
      <c r="B106" s="9" t="n"/>
      <c r="C106" s="9" t="n"/>
      <c r="D106" s="10" t="n"/>
      <c r="E106" s="9" t="n"/>
      <c r="F106" s="9" t="n"/>
      <c r="G106" s="9" t="n"/>
      <c r="H106" s="9" t="n"/>
    </row>
    <row r="107">
      <c r="A107" s="9" t="n"/>
      <c r="B107" s="9" t="n"/>
      <c r="C107" s="9" t="n"/>
      <c r="D107" s="10" t="n"/>
      <c r="E107" s="9" t="n"/>
      <c r="F107" s="9" t="n"/>
      <c r="G107" s="9" t="n"/>
      <c r="H107" s="9" t="n"/>
    </row>
    <row r="108">
      <c r="A108" s="9" t="n"/>
      <c r="B108" s="9" t="n"/>
      <c r="C108" s="9" t="n"/>
      <c r="D108" s="10" t="n"/>
      <c r="E108" s="9" t="n"/>
      <c r="F108" s="9" t="n"/>
      <c r="G108" s="9" t="n"/>
      <c r="H108" s="9" t="n"/>
    </row>
    <row r="109">
      <c r="A109" s="9" t="n"/>
      <c r="B109" s="9" t="n"/>
      <c r="C109" s="9" t="n"/>
      <c r="D109" s="10" t="n"/>
      <c r="E109" s="9" t="n"/>
      <c r="F109" s="9" t="n"/>
      <c r="G109" s="9" t="n"/>
      <c r="H109" s="9" t="n"/>
    </row>
    <row r="110">
      <c r="A110" s="9" t="n"/>
      <c r="B110" s="9" t="n"/>
      <c r="C110" s="9" t="n"/>
      <c r="D110" s="10" t="n"/>
      <c r="E110" s="9" t="n"/>
      <c r="F110" s="9" t="n"/>
      <c r="G110" s="9" t="n"/>
      <c r="H110" s="9" t="n"/>
    </row>
    <row r="111">
      <c r="A111" s="9" t="n"/>
      <c r="B111" s="9" t="n"/>
      <c r="C111" s="9" t="n"/>
      <c r="D111" s="10" t="n"/>
      <c r="E111" s="9" t="n"/>
      <c r="F111" s="9" t="n"/>
      <c r="G111" s="9" t="n"/>
      <c r="H111" s="9" t="n"/>
    </row>
    <row r="112">
      <c r="A112" s="9" t="n"/>
      <c r="B112" s="9" t="n"/>
      <c r="C112" s="9" t="n"/>
      <c r="D112" s="10" t="n"/>
      <c r="E112" s="9" t="n"/>
      <c r="F112" s="9" t="n"/>
      <c r="G112" s="9" t="n"/>
      <c r="H112" s="9" t="n"/>
    </row>
    <row r="113">
      <c r="A113" s="9" t="n"/>
      <c r="B113" s="9" t="n"/>
      <c r="C113" s="9" t="n"/>
      <c r="D113" s="10" t="n"/>
      <c r="E113" s="9" t="n"/>
      <c r="F113" s="9" t="n"/>
      <c r="G113" s="9" t="n"/>
      <c r="H113" s="9" t="n"/>
    </row>
    <row r="114">
      <c r="A114" s="9" t="n"/>
      <c r="B114" s="9" t="n"/>
      <c r="C114" s="9" t="n"/>
      <c r="D114" s="10" t="n"/>
      <c r="E114" s="9" t="n"/>
      <c r="F114" s="9" t="n"/>
      <c r="G114" s="9" t="n"/>
      <c r="H114" s="9" t="n"/>
    </row>
    <row r="115">
      <c r="A115" s="9" t="n"/>
      <c r="B115" s="9" t="n"/>
      <c r="C115" s="9" t="n"/>
      <c r="D115" s="10" t="n"/>
      <c r="E115" s="9" t="n"/>
      <c r="F115" s="9" t="n"/>
      <c r="G115" s="9" t="n"/>
      <c r="H115" s="9" t="n"/>
    </row>
    <row r="116">
      <c r="A116" s="9" t="n"/>
      <c r="B116" s="9" t="n"/>
      <c r="C116" s="9" t="n"/>
      <c r="D116" s="10" t="n"/>
      <c r="E116" s="9" t="n"/>
      <c r="F116" s="9" t="n"/>
      <c r="G116" s="9" t="n"/>
      <c r="H116" s="9" t="n"/>
    </row>
    <row r="117">
      <c r="A117" s="9" t="n"/>
      <c r="B117" s="9" t="n"/>
      <c r="C117" s="9" t="n"/>
      <c r="D117" s="10" t="n"/>
      <c r="E117" s="9" t="n"/>
      <c r="F117" s="9" t="n"/>
      <c r="G117" s="9" t="n"/>
      <c r="H117" s="9" t="n"/>
    </row>
    <row r="118">
      <c r="A118" s="9" t="n"/>
      <c r="B118" s="9" t="n"/>
      <c r="C118" s="9" t="n"/>
      <c r="D118" s="10" t="n"/>
      <c r="E118" s="9" t="n"/>
      <c r="F118" s="9" t="n"/>
      <c r="G118" s="9" t="n"/>
      <c r="H118" s="9" t="n"/>
    </row>
    <row r="119">
      <c r="A119" s="9" t="n"/>
      <c r="B119" s="9" t="n"/>
      <c r="C119" s="9" t="n"/>
      <c r="D119" s="10" t="n"/>
      <c r="E119" s="9" t="n"/>
      <c r="F119" s="9" t="n"/>
      <c r="G119" s="9" t="n"/>
      <c r="H119" s="9" t="n"/>
    </row>
    <row r="120">
      <c r="A120" s="9" t="n"/>
      <c r="B120" s="9" t="n"/>
      <c r="C120" s="9" t="n"/>
      <c r="D120" s="10" t="n"/>
      <c r="E120" s="9" t="n"/>
      <c r="F120" s="9" t="n"/>
      <c r="G120" s="9" t="n"/>
      <c r="H120" s="9" t="n"/>
    </row>
    <row r="121">
      <c r="A121" s="9" t="n"/>
      <c r="B121" s="9" t="n"/>
      <c r="C121" s="9" t="n"/>
      <c r="D121" s="10" t="n"/>
      <c r="E121" s="9" t="n"/>
      <c r="F121" s="9" t="n"/>
      <c r="G121" s="9" t="n"/>
      <c r="H121" s="9" t="n"/>
    </row>
    <row r="122">
      <c r="A122" s="9" t="n"/>
      <c r="B122" s="9" t="n"/>
      <c r="C122" s="9" t="n"/>
      <c r="D122" s="10" t="n"/>
      <c r="E122" s="9" t="n"/>
      <c r="F122" s="9" t="n"/>
      <c r="G122" s="9" t="n"/>
      <c r="H122" s="9" t="n"/>
    </row>
    <row r="123">
      <c r="A123" s="9" t="n"/>
      <c r="B123" s="9" t="n"/>
      <c r="C123" s="9" t="n"/>
      <c r="D123" s="10" t="n"/>
      <c r="E123" s="9" t="n"/>
      <c r="F123" s="9" t="n"/>
      <c r="G123" s="9" t="n"/>
      <c r="H123" s="9" t="n"/>
    </row>
    <row r="124">
      <c r="A124" s="9" t="n"/>
      <c r="B124" s="9" t="n"/>
      <c r="C124" s="9" t="n"/>
      <c r="D124" s="10" t="n"/>
      <c r="E124" s="9" t="n"/>
      <c r="F124" s="9" t="n"/>
      <c r="G124" s="9" t="n"/>
      <c r="H124" s="9" t="n"/>
    </row>
    <row r="125">
      <c r="A125" s="9" t="n"/>
      <c r="B125" s="9" t="n"/>
      <c r="C125" s="9" t="n"/>
      <c r="D125" s="10" t="n"/>
      <c r="E125" s="9" t="n"/>
      <c r="F125" s="9" t="n"/>
      <c r="G125" s="9" t="n"/>
      <c r="H125" s="9" t="n"/>
    </row>
    <row r="126">
      <c r="A126" s="9" t="n"/>
      <c r="B126" s="9" t="n"/>
      <c r="C126" s="9" t="n"/>
      <c r="D126" s="10" t="n"/>
      <c r="E126" s="9" t="n"/>
      <c r="F126" s="9" t="n"/>
      <c r="G126" s="9" t="n"/>
      <c r="H126" s="9" t="n"/>
    </row>
    <row r="127">
      <c r="A127" s="9" t="n"/>
      <c r="B127" s="9" t="n"/>
      <c r="C127" s="9" t="n"/>
      <c r="D127" s="10" t="n"/>
      <c r="E127" s="9" t="n"/>
      <c r="F127" s="9" t="n"/>
      <c r="G127" s="9" t="n"/>
      <c r="H127" s="9" t="n"/>
    </row>
    <row r="128">
      <c r="A128" s="9" t="n"/>
      <c r="B128" s="9" t="n"/>
      <c r="C128" s="9" t="n"/>
      <c r="D128" s="10" t="n"/>
      <c r="E128" s="9" t="n"/>
      <c r="F128" s="9" t="n"/>
      <c r="G128" s="9" t="n"/>
      <c r="H128" s="9" t="n"/>
    </row>
    <row r="129">
      <c r="A129" s="9" t="n"/>
      <c r="B129" s="9" t="n"/>
      <c r="C129" s="9" t="n"/>
      <c r="D129" s="10" t="n"/>
      <c r="E129" s="9" t="n"/>
      <c r="F129" s="9" t="n"/>
      <c r="G129" s="9" t="n"/>
      <c r="H129" s="9" t="n"/>
    </row>
    <row r="130">
      <c r="A130" s="9" t="n"/>
      <c r="B130" s="9" t="n"/>
      <c r="C130" s="9" t="n"/>
      <c r="D130" s="10" t="n"/>
      <c r="E130" s="9" t="n"/>
      <c r="F130" s="9" t="n"/>
      <c r="G130" s="9" t="n"/>
      <c r="H130" s="9" t="n"/>
    </row>
    <row r="131">
      <c r="A131" s="9" t="n"/>
      <c r="B131" s="9" t="n"/>
      <c r="C131" s="9" t="n"/>
      <c r="D131" s="10" t="n"/>
      <c r="E131" s="9" t="n"/>
      <c r="F131" s="9" t="n"/>
      <c r="G131" s="9" t="n"/>
      <c r="H131" s="9" t="n"/>
    </row>
    <row r="132">
      <c r="A132" s="9" t="n"/>
      <c r="B132" s="9" t="n"/>
      <c r="C132" s="9" t="n"/>
      <c r="D132" s="10" t="n"/>
      <c r="E132" s="9" t="n"/>
      <c r="F132" s="9" t="n"/>
      <c r="G132" s="9" t="n"/>
      <c r="H132" s="9" t="n"/>
    </row>
    <row r="133">
      <c r="A133" s="9" t="n"/>
      <c r="B133" s="9" t="n"/>
      <c r="C133" s="9" t="n"/>
      <c r="D133" s="10" t="n"/>
      <c r="E133" s="9" t="n"/>
      <c r="F133" s="9" t="n"/>
      <c r="G133" s="9" t="n"/>
      <c r="H133" s="9" t="n"/>
    </row>
    <row r="134">
      <c r="A134" s="9" t="n"/>
      <c r="B134" s="9" t="n"/>
      <c r="C134" s="9" t="n"/>
      <c r="D134" s="10" t="n"/>
      <c r="E134" s="9" t="n"/>
      <c r="F134" s="9" t="n"/>
      <c r="G134" s="9" t="n"/>
      <c r="H134" s="9" t="n"/>
    </row>
    <row r="135">
      <c r="A135" s="9" t="n"/>
      <c r="B135" s="9" t="n"/>
      <c r="C135" s="9" t="n"/>
      <c r="D135" s="10" t="n"/>
      <c r="E135" s="9" t="n"/>
      <c r="F135" s="9" t="n"/>
      <c r="G135" s="9" t="n"/>
      <c r="H135" s="9" t="n"/>
    </row>
    <row r="136">
      <c r="A136" s="9" t="n"/>
      <c r="B136" s="9" t="n"/>
      <c r="C136" s="9" t="n"/>
      <c r="D136" s="10" t="n"/>
      <c r="E136" s="9" t="n"/>
      <c r="F136" s="9" t="n"/>
      <c r="G136" s="9" t="n"/>
      <c r="H136" s="9" t="n"/>
    </row>
    <row r="137">
      <c r="A137" s="9" t="n"/>
      <c r="B137" s="9" t="n"/>
      <c r="C137" s="9" t="n"/>
      <c r="D137" s="10" t="n"/>
      <c r="E137" s="9" t="n"/>
      <c r="F137" s="9" t="n"/>
      <c r="G137" s="9" t="n"/>
      <c r="H137" s="9" t="n"/>
    </row>
    <row r="138">
      <c r="A138" s="9" t="n"/>
      <c r="B138" s="9" t="n"/>
      <c r="C138" s="9" t="n"/>
      <c r="D138" s="10" t="n"/>
      <c r="E138" s="9" t="n"/>
      <c r="F138" s="9" t="n"/>
      <c r="G138" s="9" t="n"/>
      <c r="H138" s="9" t="n"/>
    </row>
    <row r="139">
      <c r="A139" s="9" t="n"/>
      <c r="B139" s="9" t="n"/>
      <c r="C139" s="9" t="n"/>
      <c r="D139" s="10" t="n"/>
      <c r="E139" s="9" t="n"/>
      <c r="F139" s="9" t="n"/>
      <c r="G139" s="9" t="n"/>
      <c r="H139" s="9" t="n"/>
    </row>
    <row r="140">
      <c r="A140" s="9" t="n"/>
      <c r="B140" s="9" t="n"/>
      <c r="C140" s="9" t="n"/>
      <c r="D140" s="10" t="n"/>
      <c r="E140" s="9" t="n"/>
      <c r="F140" s="9" t="n"/>
      <c r="G140" s="9" t="n"/>
      <c r="H140" s="9" t="n"/>
    </row>
    <row r="141">
      <c r="A141" s="9" t="n"/>
      <c r="B141" s="9" t="n"/>
      <c r="C141" s="9" t="n"/>
      <c r="D141" s="10" t="n"/>
      <c r="E141" s="9" t="n"/>
      <c r="F141" s="9" t="n"/>
      <c r="G141" s="9" t="n"/>
      <c r="H141" s="9" t="n"/>
    </row>
    <row r="142">
      <c r="A142" s="9" t="n"/>
      <c r="B142" s="9" t="n"/>
      <c r="C142" s="9" t="n"/>
      <c r="D142" s="10" t="n"/>
      <c r="E142" s="9" t="n"/>
      <c r="F142" s="9" t="n"/>
      <c r="G142" s="9" t="n"/>
      <c r="H142" s="9" t="n"/>
    </row>
    <row r="143">
      <c r="A143" s="9" t="n"/>
      <c r="B143" s="9" t="n"/>
      <c r="C143" s="9" t="n"/>
      <c r="D143" s="10" t="n"/>
      <c r="E143" s="9" t="n"/>
      <c r="F143" s="9" t="n"/>
      <c r="G143" s="9" t="n"/>
      <c r="H143" s="9" t="n"/>
    </row>
    <row r="144">
      <c r="A144" s="9" t="n"/>
      <c r="B144" s="9" t="n"/>
      <c r="C144" s="9" t="n"/>
      <c r="D144" s="10" t="n"/>
      <c r="E144" s="9" t="n"/>
      <c r="F144" s="9" t="n"/>
      <c r="G144" s="9" t="n"/>
      <c r="H144" s="9" t="n"/>
    </row>
    <row r="145">
      <c r="A145" s="9" t="n"/>
      <c r="B145" s="9" t="n"/>
      <c r="C145" s="9" t="n"/>
      <c r="D145" s="10" t="n"/>
      <c r="E145" s="9" t="n"/>
      <c r="F145" s="9" t="n"/>
      <c r="G145" s="9" t="n"/>
      <c r="H145" s="9" t="n"/>
    </row>
    <row r="146">
      <c r="A146" s="9" t="n"/>
      <c r="B146" s="9" t="n"/>
      <c r="C146" s="9" t="n"/>
      <c r="D146" s="10" t="n"/>
      <c r="E146" s="9" t="n"/>
      <c r="F146" s="9" t="n"/>
      <c r="G146" s="9" t="n"/>
      <c r="H146" s="9" t="n"/>
    </row>
    <row r="147">
      <c r="A147" s="9" t="n"/>
      <c r="B147" s="9" t="n"/>
      <c r="C147" s="9" t="n"/>
      <c r="D147" s="10" t="n"/>
      <c r="E147" s="9" t="n"/>
      <c r="F147" s="9" t="n"/>
      <c r="G147" s="9" t="n"/>
      <c r="H147" s="9" t="n"/>
    </row>
    <row r="148">
      <c r="A148" s="9" t="n"/>
      <c r="B148" s="9" t="n"/>
      <c r="C148" s="9" t="n"/>
      <c r="D148" s="10" t="n"/>
      <c r="E148" s="9" t="n"/>
      <c r="F148" s="9" t="n"/>
      <c r="G148" s="9" t="n"/>
      <c r="H148" s="9" t="n"/>
    </row>
    <row r="149">
      <c r="A149" s="9" t="n"/>
      <c r="B149" s="9" t="n"/>
      <c r="C149" s="9" t="n"/>
      <c r="D149" s="10" t="n"/>
      <c r="E149" s="9" t="n"/>
      <c r="F149" s="9" t="n"/>
      <c r="G149" s="9" t="n"/>
      <c r="H149" s="9" t="n"/>
    </row>
    <row r="150">
      <c r="A150" s="9" t="n"/>
      <c r="B150" s="9" t="n"/>
      <c r="C150" s="9" t="n"/>
      <c r="D150" s="10" t="n"/>
      <c r="E150" s="9" t="n"/>
      <c r="F150" s="9" t="n"/>
      <c r="G150" s="9" t="n"/>
      <c r="H150" s="9" t="n"/>
    </row>
    <row r="151">
      <c r="A151" s="9" t="n"/>
      <c r="B151" s="9" t="n"/>
      <c r="C151" s="9" t="n"/>
      <c r="D151" s="10" t="n"/>
      <c r="E151" s="9" t="n"/>
      <c r="F151" s="9" t="n"/>
      <c r="G151" s="9" t="n"/>
      <c r="H151" s="9" t="n"/>
    </row>
    <row r="152">
      <c r="A152" s="9" t="n"/>
      <c r="B152" s="9" t="n"/>
      <c r="C152" s="9" t="n"/>
      <c r="D152" s="10" t="n"/>
      <c r="E152" s="9" t="n"/>
      <c r="F152" s="9" t="n"/>
      <c r="G152" s="9" t="n"/>
      <c r="H152" s="9" t="n"/>
    </row>
    <row r="153">
      <c r="A153" s="9" t="n"/>
      <c r="B153" s="9" t="n"/>
      <c r="C153" s="9" t="n"/>
      <c r="D153" s="10" t="n"/>
      <c r="E153" s="9" t="n"/>
      <c r="F153" s="9" t="n"/>
      <c r="G153" s="9" t="n"/>
      <c r="H153" s="9" t="n"/>
    </row>
    <row r="154">
      <c r="A154" s="9" t="n"/>
      <c r="B154" s="9" t="n"/>
      <c r="C154" s="9" t="n"/>
      <c r="D154" s="10" t="n"/>
      <c r="E154" s="9" t="n"/>
      <c r="F154" s="9" t="n"/>
      <c r="G154" s="9" t="n"/>
      <c r="H154" s="9" t="n"/>
    </row>
    <row r="155">
      <c r="A155" s="9" t="n"/>
      <c r="B155" s="9" t="n"/>
      <c r="C155" s="9" t="n"/>
      <c r="D155" s="10" t="n"/>
      <c r="E155" s="9" t="n"/>
      <c r="F155" s="9" t="n"/>
      <c r="G155" s="9" t="n"/>
      <c r="H155" s="9" t="n"/>
    </row>
    <row r="156">
      <c r="A156" s="9" t="n"/>
      <c r="B156" s="9" t="n"/>
      <c r="C156" s="9" t="n"/>
      <c r="D156" s="10" t="n"/>
      <c r="E156" s="9" t="n"/>
      <c r="F156" s="9" t="n"/>
      <c r="G156" s="9" t="n"/>
      <c r="H156" s="9" t="n"/>
    </row>
    <row r="157">
      <c r="A157" s="9" t="n"/>
      <c r="B157" s="9" t="n"/>
      <c r="C157" s="9" t="n"/>
      <c r="D157" s="10" t="n"/>
      <c r="E157" s="9" t="n"/>
      <c r="F157" s="9" t="n"/>
      <c r="G157" s="9" t="n"/>
      <c r="H157" s="9" t="n"/>
    </row>
    <row r="158">
      <c r="A158" s="9" t="n"/>
      <c r="B158" s="9" t="n"/>
      <c r="C158" s="9" t="n"/>
      <c r="D158" s="10" t="n"/>
      <c r="E158" s="9" t="n"/>
      <c r="F158" s="9" t="n"/>
      <c r="G158" s="9" t="n"/>
      <c r="H158" s="9" t="n"/>
    </row>
    <row r="159">
      <c r="A159" s="9" t="n"/>
      <c r="B159" s="9" t="n"/>
      <c r="C159" s="9" t="n"/>
      <c r="D159" s="10" t="n"/>
      <c r="E159" s="9" t="n"/>
      <c r="F159" s="9" t="n"/>
      <c r="G159" s="9" t="n"/>
      <c r="H159" s="9" t="n"/>
    </row>
    <row r="160">
      <c r="A160" s="9" t="n"/>
      <c r="B160" s="9" t="n"/>
      <c r="C160" s="9" t="n"/>
      <c r="D160" s="10" t="n"/>
      <c r="E160" s="9" t="n"/>
      <c r="F160" s="9" t="n"/>
      <c r="G160" s="9" t="n"/>
      <c r="H160" s="9" t="n"/>
    </row>
    <row r="161">
      <c r="A161" s="9" t="n"/>
      <c r="B161" s="9" t="n"/>
      <c r="C161" s="9" t="n"/>
      <c r="D161" s="10" t="n"/>
      <c r="E161" s="9" t="n"/>
      <c r="F161" s="9" t="n"/>
      <c r="G161" s="9" t="n"/>
      <c r="H161" s="9" t="n"/>
    </row>
    <row r="162">
      <c r="A162" s="9" t="n"/>
      <c r="B162" s="9" t="n"/>
      <c r="C162" s="9" t="n"/>
      <c r="D162" s="10" t="n"/>
      <c r="E162" s="9" t="n"/>
      <c r="F162" s="9" t="n"/>
      <c r="G162" s="9" t="n"/>
      <c r="H162" s="9" t="n"/>
    </row>
    <row r="163">
      <c r="A163" s="9" t="n"/>
      <c r="B163" s="9" t="n"/>
      <c r="C163" s="9" t="n"/>
      <c r="D163" s="10" t="n"/>
      <c r="E163" s="9" t="n"/>
      <c r="F163" s="9" t="n"/>
      <c r="G163" s="9" t="n"/>
      <c r="H163" s="9" t="n"/>
    </row>
    <row r="164">
      <c r="A164" s="9" t="n"/>
      <c r="B164" s="9" t="n"/>
      <c r="C164" s="9" t="n"/>
      <c r="D164" s="10" t="n"/>
      <c r="E164" s="9" t="n"/>
      <c r="F164" s="9" t="n"/>
      <c r="G164" s="9" t="n"/>
      <c r="H164" s="9" t="n"/>
    </row>
    <row r="165">
      <c r="A165" s="9" t="n"/>
      <c r="B165" s="9" t="n"/>
      <c r="C165" s="9" t="n"/>
      <c r="D165" s="10" t="n"/>
      <c r="E165" s="9" t="n"/>
      <c r="F165" s="9" t="n"/>
      <c r="G165" s="9" t="n"/>
      <c r="H165" s="9" t="n"/>
    </row>
    <row r="166">
      <c r="A166" s="9" t="n"/>
      <c r="B166" s="9" t="n"/>
      <c r="C166" s="9" t="n"/>
      <c r="D166" s="10" t="n"/>
      <c r="E166" s="9" t="n"/>
      <c r="F166" s="9" t="n"/>
      <c r="G166" s="9" t="n"/>
      <c r="H166" s="9" t="n"/>
    </row>
    <row r="167">
      <c r="A167" s="9" t="n"/>
      <c r="B167" s="9" t="n"/>
      <c r="C167" s="9" t="n"/>
      <c r="D167" s="10" t="n"/>
      <c r="E167" s="9" t="n"/>
      <c r="F167" s="9" t="n"/>
      <c r="G167" s="9" t="n"/>
      <c r="H167" s="9" t="n"/>
    </row>
    <row r="168">
      <c r="A168" s="9" t="n"/>
      <c r="B168" s="9" t="n"/>
      <c r="C168" s="9" t="n"/>
      <c r="D168" s="10" t="n"/>
      <c r="E168" s="9" t="n"/>
      <c r="F168" s="9" t="n"/>
      <c r="G168" s="9" t="n"/>
      <c r="H168" s="9" t="n"/>
    </row>
    <row r="169">
      <c r="A169" s="9" t="n"/>
      <c r="B169" s="9" t="n"/>
      <c r="C169" s="9" t="n"/>
      <c r="D169" s="10" t="n"/>
      <c r="E169" s="9" t="n"/>
      <c r="F169" s="9" t="n"/>
      <c r="G169" s="9" t="n"/>
      <c r="H169" s="9" t="n"/>
    </row>
    <row r="170">
      <c r="A170" s="9" t="n"/>
      <c r="B170" s="9" t="n"/>
      <c r="C170" s="9" t="n"/>
      <c r="D170" s="10" t="n"/>
      <c r="E170" s="9" t="n"/>
      <c r="F170" s="9" t="n"/>
      <c r="G170" s="9" t="n"/>
      <c r="H170" s="9" t="n"/>
    </row>
    <row r="171">
      <c r="A171" s="9" t="n"/>
      <c r="B171" s="9" t="n"/>
      <c r="C171" s="9" t="n"/>
      <c r="D171" s="10" t="n"/>
      <c r="E171" s="9" t="n"/>
      <c r="F171" s="9" t="n"/>
      <c r="G171" s="9" t="n"/>
      <c r="H171" s="9" t="n"/>
    </row>
    <row r="172">
      <c r="A172" s="9" t="n"/>
      <c r="B172" s="9" t="n"/>
      <c r="C172" s="9" t="n"/>
      <c r="D172" s="10" t="n"/>
      <c r="E172" s="9" t="n"/>
      <c r="F172" s="9" t="n"/>
      <c r="G172" s="9" t="n"/>
      <c r="H172" s="9" t="n"/>
    </row>
    <row r="173">
      <c r="A173" s="9" t="n"/>
      <c r="B173" s="9" t="n"/>
      <c r="C173" s="9" t="n"/>
      <c r="D173" s="10" t="n"/>
      <c r="E173" s="9" t="n"/>
      <c r="F173" s="9" t="n"/>
      <c r="G173" s="9" t="n"/>
      <c r="H173" s="9" t="n"/>
    </row>
    <row r="174">
      <c r="A174" s="9" t="n"/>
      <c r="B174" s="9" t="n"/>
      <c r="C174" s="9" t="n"/>
      <c r="D174" s="10" t="n"/>
      <c r="E174" s="9" t="n"/>
      <c r="F174" s="9" t="n"/>
      <c r="G174" s="9" t="n"/>
      <c r="H174" s="9" t="n"/>
    </row>
    <row r="175">
      <c r="A175" s="9" t="n"/>
      <c r="B175" s="9" t="n"/>
      <c r="C175" s="9" t="n"/>
      <c r="D175" s="10" t="n"/>
      <c r="E175" s="9" t="n"/>
      <c r="F175" s="9" t="n"/>
      <c r="G175" s="9" t="n"/>
      <c r="H175" s="9" t="n"/>
    </row>
    <row r="176">
      <c r="A176" s="9" t="n"/>
      <c r="B176" s="9" t="n"/>
      <c r="C176" s="9" t="n"/>
      <c r="D176" s="10" t="n"/>
      <c r="E176" s="9" t="n"/>
      <c r="F176" s="9" t="n"/>
      <c r="G176" s="9" t="n"/>
      <c r="H176" s="9" t="n"/>
    </row>
    <row r="177">
      <c r="A177" s="9" t="n"/>
      <c r="B177" s="9" t="n"/>
      <c r="C177" s="9" t="n"/>
      <c r="D177" s="10" t="n"/>
      <c r="E177" s="9" t="n"/>
      <c r="F177" s="9" t="n"/>
      <c r="G177" s="9" t="n"/>
      <c r="H177" s="9" t="n"/>
    </row>
    <row r="178">
      <c r="A178" s="9" t="n"/>
      <c r="B178" s="9" t="n"/>
      <c r="C178" s="9" t="n"/>
      <c r="D178" s="10" t="n"/>
      <c r="E178" s="9" t="n"/>
      <c r="F178" s="9" t="n"/>
      <c r="G178" s="9" t="n"/>
      <c r="H178" s="9" t="n"/>
    </row>
    <row r="179">
      <c r="A179" s="9" t="n"/>
      <c r="B179" s="9" t="n"/>
      <c r="C179" s="9" t="n"/>
      <c r="D179" s="10" t="n"/>
      <c r="E179" s="9" t="n"/>
      <c r="F179" s="9" t="n"/>
      <c r="G179" s="9" t="n"/>
      <c r="H179" s="9" t="n"/>
    </row>
    <row r="180">
      <c r="A180" s="9" t="n"/>
      <c r="B180" s="9" t="n"/>
      <c r="C180" s="9" t="n"/>
      <c r="D180" s="10" t="n"/>
      <c r="E180" s="9" t="n"/>
      <c r="F180" s="9" t="n"/>
      <c r="G180" s="9" t="n"/>
      <c r="H180" s="9" t="n"/>
    </row>
    <row r="181">
      <c r="A181" s="9" t="n"/>
      <c r="B181" s="9" t="n"/>
      <c r="C181" s="9" t="n"/>
      <c r="D181" s="10" t="n"/>
      <c r="E181" s="9" t="n"/>
      <c r="F181" s="9" t="n"/>
      <c r="G181" s="9" t="n"/>
      <c r="H181" s="9" t="n"/>
    </row>
    <row r="182">
      <c r="A182" s="9" t="n"/>
      <c r="B182" s="9" t="n"/>
      <c r="C182" s="9" t="n"/>
      <c r="D182" s="10" t="n"/>
      <c r="E182" s="9" t="n"/>
      <c r="F182" s="9" t="n"/>
      <c r="G182" s="9" t="n"/>
      <c r="H182" s="9" t="n"/>
    </row>
    <row r="183">
      <c r="A183" s="9" t="n"/>
      <c r="B183" s="9" t="n"/>
      <c r="C183" s="9" t="n"/>
      <c r="D183" s="10" t="n"/>
      <c r="E183" s="9" t="n"/>
      <c r="F183" s="9" t="n"/>
      <c r="G183" s="9" t="n"/>
      <c r="H183" s="9" t="n"/>
    </row>
    <row r="184">
      <c r="A184" s="9" t="n"/>
      <c r="B184" s="9" t="n"/>
      <c r="C184" s="9" t="n"/>
      <c r="D184" s="10" t="n"/>
      <c r="E184" s="9" t="n"/>
      <c r="F184" s="9" t="n"/>
      <c r="G184" s="9" t="n"/>
      <c r="H184" s="9" t="n"/>
    </row>
    <row r="185">
      <c r="A185" s="9" t="n"/>
      <c r="B185" s="9" t="n"/>
      <c r="C185" s="9" t="n"/>
      <c r="D185" s="10" t="n"/>
      <c r="E185" s="9" t="n"/>
      <c r="F185" s="9" t="n"/>
      <c r="G185" s="9" t="n"/>
      <c r="H185" s="9" t="n"/>
    </row>
    <row r="186">
      <c r="A186" s="9" t="n"/>
      <c r="B186" s="9" t="n"/>
      <c r="C186" s="9" t="n"/>
      <c r="D186" s="10" t="n"/>
      <c r="E186" s="9" t="n"/>
      <c r="F186" s="9" t="n"/>
      <c r="G186" s="9" t="n"/>
      <c r="H186" s="9" t="n"/>
    </row>
    <row r="187">
      <c r="A187" s="9" t="n"/>
      <c r="B187" s="9" t="n"/>
      <c r="C187" s="9" t="n"/>
      <c r="D187" s="10" t="n"/>
      <c r="E187" s="9" t="n"/>
      <c r="F187" s="9" t="n"/>
      <c r="G187" s="9" t="n"/>
      <c r="H187" s="9" t="n"/>
    </row>
    <row r="188">
      <c r="A188" s="9" t="n"/>
      <c r="B188" s="9" t="n"/>
      <c r="C188" s="9" t="n"/>
      <c r="D188" s="10" t="n"/>
      <c r="E188" s="9" t="n"/>
      <c r="F188" s="9" t="n"/>
      <c r="G188" s="9" t="n"/>
      <c r="H188" s="9" t="n"/>
    </row>
    <row r="189">
      <c r="A189" s="9" t="n"/>
      <c r="B189" s="9" t="n"/>
      <c r="C189" s="9" t="n"/>
      <c r="D189" s="10" t="n"/>
      <c r="E189" s="9" t="n"/>
      <c r="F189" s="9" t="n"/>
      <c r="G189" s="9" t="n"/>
      <c r="H189" s="9" t="n"/>
    </row>
    <row r="190">
      <c r="A190" s="9" t="n"/>
      <c r="B190" s="9" t="n"/>
      <c r="C190" s="9" t="n"/>
      <c r="D190" s="10" t="n"/>
      <c r="E190" s="9" t="n"/>
      <c r="F190" s="9" t="n"/>
      <c r="G190" s="9" t="n"/>
      <c r="H190" s="9" t="n"/>
    </row>
    <row r="191">
      <c r="A191" s="9" t="n"/>
      <c r="B191" s="9" t="n"/>
      <c r="C191" s="9" t="n"/>
      <c r="D191" s="10" t="n"/>
      <c r="E191" s="9" t="n"/>
      <c r="F191" s="9" t="n"/>
      <c r="G191" s="9" t="n"/>
      <c r="H191" s="9" t="n"/>
    </row>
    <row r="192">
      <c r="A192" s="9" t="n"/>
      <c r="B192" s="9" t="n"/>
      <c r="C192" s="9" t="n"/>
      <c r="D192" s="10" t="n"/>
      <c r="E192" s="9" t="n"/>
      <c r="F192" s="9" t="n"/>
      <c r="G192" s="9" t="n"/>
      <c r="H192" s="9" t="n"/>
    </row>
    <row r="193">
      <c r="A193" s="9" t="n"/>
      <c r="B193" s="9" t="n"/>
      <c r="C193" s="9" t="n"/>
      <c r="D193" s="10" t="n"/>
      <c r="E193" s="9" t="n"/>
      <c r="F193" s="9" t="n"/>
      <c r="G193" s="9" t="n"/>
      <c r="H193" s="9" t="n"/>
    </row>
    <row r="194">
      <c r="A194" s="9" t="n"/>
      <c r="B194" s="9" t="n"/>
      <c r="C194" s="9" t="n"/>
      <c r="D194" s="10" t="n"/>
      <c r="E194" s="9" t="n"/>
      <c r="F194" s="9" t="n"/>
      <c r="G194" s="9" t="n"/>
      <c r="H194" s="9" t="n"/>
    </row>
    <row r="195">
      <c r="A195" s="9" t="n"/>
      <c r="B195" s="9" t="n"/>
      <c r="C195" s="9" t="n"/>
      <c r="D195" s="10" t="n"/>
      <c r="E195" s="9" t="n"/>
      <c r="F195" s="9" t="n"/>
      <c r="G195" s="9" t="n"/>
      <c r="H195" s="9" t="n"/>
    </row>
    <row r="196">
      <c r="A196" s="9" t="n"/>
      <c r="B196" s="9" t="n"/>
      <c r="C196" s="9" t="n"/>
      <c r="D196" s="10" t="n"/>
      <c r="E196" s="9" t="n"/>
      <c r="F196" s="9" t="n"/>
      <c r="G196" s="9" t="n"/>
      <c r="H196" s="9" t="n"/>
    </row>
    <row r="197">
      <c r="A197" s="9" t="n"/>
      <c r="B197" s="9" t="n"/>
      <c r="C197" s="9" t="n"/>
      <c r="D197" s="10" t="n"/>
      <c r="E197" s="9" t="n"/>
      <c r="F197" s="9" t="n"/>
      <c r="G197" s="9" t="n"/>
      <c r="H197" s="9" t="n"/>
    </row>
    <row r="198">
      <c r="A198" s="9" t="n"/>
      <c r="B198" s="9" t="n"/>
      <c r="C198" s="9" t="n"/>
      <c r="D198" s="10" t="n"/>
      <c r="E198" s="9" t="n"/>
      <c r="F198" s="9" t="n"/>
      <c r="G198" s="9" t="n"/>
      <c r="H198" s="9" t="n"/>
    </row>
    <row r="199">
      <c r="A199" s="9" t="n"/>
      <c r="B199" s="9" t="n"/>
      <c r="C199" s="9" t="n"/>
      <c r="D199" s="10" t="n"/>
      <c r="E199" s="9" t="n"/>
      <c r="F199" s="9" t="n"/>
      <c r="G199" s="9" t="n"/>
      <c r="H199" s="9" t="n"/>
    </row>
    <row r="200">
      <c r="A200" s="9" t="n"/>
      <c r="B200" s="9" t="n"/>
      <c r="C200" s="9" t="n"/>
      <c r="D200" s="10" t="n"/>
      <c r="E200" s="9" t="n"/>
      <c r="F200" s="9" t="n"/>
      <c r="G200" s="9" t="n"/>
      <c r="H200" s="9" t="n"/>
    </row>
    <row r="201">
      <c r="A201" s="9" t="n"/>
      <c r="B201" s="9" t="n"/>
      <c r="C201" s="9" t="n"/>
      <c r="D201" s="10" t="n"/>
      <c r="E201" s="9" t="n"/>
      <c r="F201" s="9" t="n"/>
      <c r="G201" s="9" t="n"/>
      <c r="H201" s="9" t="n"/>
    </row>
    <row r="202">
      <c r="A202" s="9" t="n"/>
      <c r="B202" s="9" t="n"/>
      <c r="C202" s="9" t="n"/>
      <c r="D202" s="10" t="n"/>
      <c r="E202" s="9" t="n"/>
      <c r="F202" s="9" t="n"/>
      <c r="G202" s="9" t="n"/>
      <c r="H202" s="9" t="n"/>
    </row>
    <row r="203">
      <c r="A203" s="9" t="n"/>
      <c r="B203" s="9" t="n"/>
      <c r="C203" s="9" t="n"/>
      <c r="D203" s="10" t="n"/>
      <c r="E203" s="9" t="n"/>
      <c r="F203" s="9" t="n"/>
      <c r="G203" s="9" t="n"/>
      <c r="H203" s="9" t="n"/>
    </row>
    <row r="204">
      <c r="A204" s="9" t="n"/>
      <c r="B204" s="9" t="n"/>
      <c r="C204" s="9" t="n"/>
      <c r="D204" s="10" t="n"/>
      <c r="E204" s="9" t="n"/>
      <c r="F204" s="9" t="n"/>
      <c r="G204" s="9" t="n"/>
      <c r="H204" s="9" t="n"/>
    </row>
    <row r="205">
      <c r="A205" s="9" t="n"/>
      <c r="B205" s="9" t="n"/>
      <c r="C205" s="9" t="n"/>
      <c r="D205" s="10" t="n"/>
      <c r="E205" s="9" t="n"/>
      <c r="F205" s="9" t="n"/>
      <c r="G205" s="9" t="n"/>
      <c r="H205" s="9" t="n"/>
    </row>
    <row r="206">
      <c r="A206" s="9" t="n"/>
      <c r="B206" s="9" t="n"/>
      <c r="C206" s="9" t="n"/>
      <c r="D206" s="10" t="n"/>
      <c r="E206" s="9" t="n"/>
      <c r="F206" s="9" t="n"/>
      <c r="G206" s="9" t="n"/>
      <c r="H206" s="9" t="n"/>
    </row>
    <row r="207">
      <c r="A207" s="9" t="n"/>
      <c r="B207" s="9" t="n"/>
      <c r="C207" s="9" t="n"/>
      <c r="D207" s="10" t="n"/>
      <c r="E207" s="9" t="n"/>
      <c r="F207" s="9" t="n"/>
      <c r="G207" s="9" t="n"/>
      <c r="H207" s="9" t="n"/>
    </row>
    <row r="208">
      <c r="A208" s="9" t="n"/>
      <c r="B208" s="9" t="n"/>
      <c r="C208" s="9" t="n"/>
      <c r="D208" s="10" t="n"/>
      <c r="E208" s="9" t="n"/>
      <c r="F208" s="9" t="n"/>
      <c r="G208" s="9" t="n"/>
      <c r="H208" s="9" t="n"/>
    </row>
    <row r="209">
      <c r="A209" s="9" t="n"/>
      <c r="B209" s="9" t="n"/>
      <c r="C209" s="9" t="n"/>
      <c r="D209" s="10" t="n"/>
      <c r="E209" s="9" t="n"/>
      <c r="F209" s="9" t="n"/>
      <c r="G209" s="9" t="n"/>
      <c r="H209" s="9" t="n"/>
    </row>
    <row r="210">
      <c r="A210" s="9" t="n"/>
      <c r="B210" s="9" t="n"/>
      <c r="C210" s="9" t="n"/>
      <c r="D210" s="10" t="n"/>
      <c r="E210" s="9" t="n"/>
      <c r="F210" s="9" t="n"/>
      <c r="G210" s="9" t="n"/>
      <c r="H210" s="9" t="n"/>
    </row>
    <row r="211">
      <c r="A211" s="9" t="n"/>
      <c r="B211" s="9" t="n"/>
      <c r="C211" s="9" t="n"/>
      <c r="D211" s="10" t="n"/>
      <c r="E211" s="9" t="n"/>
      <c r="F211" s="9" t="n"/>
      <c r="G211" s="9" t="n"/>
      <c r="H211" s="9" t="n"/>
    </row>
    <row r="212">
      <c r="A212" s="9" t="n"/>
      <c r="B212" s="9" t="n"/>
      <c r="C212" s="9" t="n"/>
      <c r="D212" s="10" t="n"/>
      <c r="E212" s="9" t="n"/>
      <c r="F212" s="9" t="n"/>
      <c r="G212" s="9" t="n"/>
      <c r="H212" s="9" t="n"/>
    </row>
    <row r="213">
      <c r="A213" s="9" t="n"/>
      <c r="B213" s="9" t="n"/>
      <c r="C213" s="9" t="n"/>
      <c r="D213" s="10" t="n"/>
      <c r="E213" s="9" t="n"/>
      <c r="F213" s="9" t="n"/>
      <c r="G213" s="9" t="n"/>
      <c r="H213" s="9" t="n"/>
    </row>
    <row r="214">
      <c r="A214" s="9" t="n"/>
      <c r="B214" s="9" t="n"/>
      <c r="C214" s="9" t="n"/>
      <c r="D214" s="10" t="n"/>
      <c r="E214" s="9" t="n"/>
      <c r="F214" s="9" t="n"/>
      <c r="G214" s="9" t="n"/>
      <c r="H214" s="9" t="n"/>
    </row>
    <row r="215">
      <c r="A215" s="9" t="n"/>
      <c r="B215" s="9" t="n"/>
      <c r="C215" s="9" t="n"/>
      <c r="D215" s="10" t="n"/>
      <c r="E215" s="9" t="n"/>
      <c r="F215" s="9" t="n"/>
      <c r="G215" s="9" t="n"/>
      <c r="H215" s="9" t="n"/>
    </row>
    <row r="216">
      <c r="A216" s="9" t="n"/>
      <c r="B216" s="9" t="n"/>
      <c r="C216" s="9" t="n"/>
      <c r="D216" s="10" t="n"/>
      <c r="E216" s="9" t="n"/>
      <c r="F216" s="9" t="n"/>
      <c r="G216" s="9" t="n"/>
      <c r="H216" s="9" t="n"/>
    </row>
    <row r="217">
      <c r="A217" s="9" t="n"/>
      <c r="B217" s="9" t="n"/>
      <c r="C217" s="9" t="n"/>
      <c r="D217" s="10" t="n"/>
      <c r="E217" s="9" t="n"/>
      <c r="F217" s="9" t="n"/>
      <c r="G217" s="9" t="n"/>
      <c r="H217" s="9" t="n"/>
    </row>
    <row r="218">
      <c r="A218" s="9" t="n"/>
      <c r="B218" s="9" t="n"/>
      <c r="C218" s="9" t="n"/>
      <c r="D218" s="10" t="n"/>
      <c r="E218" s="9" t="n"/>
      <c r="F218" s="9" t="n"/>
      <c r="G218" s="9" t="n"/>
      <c r="H218" s="9" t="n"/>
    </row>
    <row r="219">
      <c r="A219" s="9" t="n"/>
      <c r="B219" s="9" t="n"/>
      <c r="C219" s="9" t="n"/>
      <c r="D219" s="10" t="n"/>
      <c r="E219" s="9" t="n"/>
      <c r="F219" s="9" t="n"/>
      <c r="G219" s="9" t="n"/>
      <c r="H219" s="9" t="n"/>
    </row>
    <row r="220">
      <c r="A220" s="9" t="n"/>
      <c r="B220" s="9" t="n"/>
      <c r="C220" s="9" t="n"/>
      <c r="D220" s="10" t="n"/>
      <c r="E220" s="9" t="n"/>
      <c r="F220" s="9" t="n"/>
      <c r="G220" s="9" t="n"/>
      <c r="H220" s="9" t="n"/>
    </row>
    <row r="221">
      <c r="A221" s="9" t="n"/>
      <c r="B221" s="9" t="n"/>
      <c r="C221" s="9" t="n"/>
      <c r="D221" s="10" t="n"/>
      <c r="E221" s="9" t="n"/>
      <c r="F221" s="9" t="n"/>
      <c r="G221" s="9" t="n"/>
      <c r="H221" s="9" t="n"/>
    </row>
    <row r="222">
      <c r="A222" s="9" t="n"/>
      <c r="B222" s="9" t="n"/>
      <c r="C222" s="9" t="n"/>
      <c r="D222" s="10" t="n"/>
      <c r="E222" s="9" t="n"/>
      <c r="F222" s="9" t="n"/>
      <c r="G222" s="9" t="n"/>
      <c r="H222" s="9" t="n"/>
    </row>
    <row r="223">
      <c r="A223" s="9" t="n"/>
      <c r="B223" s="9" t="n"/>
      <c r="C223" s="9" t="n"/>
      <c r="D223" s="10" t="n"/>
      <c r="E223" s="9" t="n"/>
      <c r="F223" s="9" t="n"/>
      <c r="G223" s="9" t="n"/>
      <c r="H223" s="9" t="n"/>
    </row>
    <row r="224">
      <c r="A224" s="9" t="n"/>
      <c r="B224" s="9" t="n"/>
      <c r="C224" s="9" t="n"/>
      <c r="D224" s="10" t="n"/>
      <c r="E224" s="9" t="n"/>
      <c r="F224" s="9" t="n"/>
      <c r="G224" s="9" t="n"/>
      <c r="H224" s="9" t="n"/>
    </row>
    <row r="225">
      <c r="A225" s="9" t="n"/>
      <c r="B225" s="9" t="n"/>
      <c r="C225" s="9" t="n"/>
      <c r="D225" s="10" t="n"/>
      <c r="E225" s="9" t="n"/>
      <c r="F225" s="9" t="n"/>
      <c r="G225" s="9" t="n"/>
      <c r="H225" s="9" t="n"/>
    </row>
    <row r="226">
      <c r="A226" s="9" t="n"/>
      <c r="B226" s="9" t="n"/>
      <c r="C226" s="9" t="n"/>
      <c r="D226" s="10" t="n"/>
      <c r="E226" s="9" t="n"/>
      <c r="F226" s="9" t="n"/>
      <c r="G226" s="9" t="n"/>
      <c r="H226" s="9" t="n"/>
    </row>
    <row r="227">
      <c r="A227" s="9" t="n"/>
      <c r="B227" s="9" t="n"/>
      <c r="C227" s="9" t="n"/>
      <c r="D227" s="10" t="n"/>
      <c r="E227" s="9" t="n"/>
      <c r="F227" s="9" t="n"/>
      <c r="G227" s="9" t="n"/>
      <c r="H227" s="9" t="n"/>
    </row>
    <row r="228">
      <c r="A228" s="9" t="n"/>
      <c r="B228" s="9" t="n"/>
      <c r="C228" s="9" t="n"/>
      <c r="D228" s="10" t="n"/>
      <c r="E228" s="9" t="n"/>
      <c r="F228" s="9" t="n"/>
      <c r="G228" s="9" t="n"/>
      <c r="H228" s="9" t="n"/>
    </row>
    <row r="229">
      <c r="A229" s="9" t="n"/>
      <c r="B229" s="9" t="n"/>
      <c r="C229" s="9" t="n"/>
      <c r="D229" s="10" t="n"/>
      <c r="E229" s="9" t="n"/>
      <c r="F229" s="9" t="n"/>
      <c r="G229" s="9" t="n"/>
      <c r="H229" s="9" t="n"/>
    </row>
    <row r="230">
      <c r="A230" s="9" t="n"/>
      <c r="B230" s="9" t="n"/>
      <c r="C230" s="9" t="n"/>
      <c r="D230" s="10" t="n"/>
      <c r="E230" s="9" t="n"/>
      <c r="F230" s="9" t="n"/>
      <c r="G230" s="9" t="n"/>
      <c r="H230" s="9" t="n"/>
    </row>
    <row r="231">
      <c r="A231" s="9" t="n"/>
      <c r="B231" s="9" t="n"/>
      <c r="C231" s="9" t="n"/>
      <c r="D231" s="10" t="n"/>
      <c r="E231" s="9" t="n"/>
      <c r="F231" s="9" t="n"/>
      <c r="G231" s="9" t="n"/>
      <c r="H231" s="9" t="n"/>
    </row>
    <row r="232">
      <c r="A232" s="9" t="n"/>
      <c r="B232" s="9" t="n"/>
      <c r="C232" s="9" t="n"/>
      <c r="D232" s="10" t="n"/>
      <c r="E232" s="9" t="n"/>
      <c r="F232" s="9" t="n"/>
      <c r="G232" s="9" t="n"/>
      <c r="H232" s="9" t="n"/>
    </row>
    <row r="233">
      <c r="A233" s="9" t="n"/>
      <c r="B233" s="9" t="n"/>
      <c r="C233" s="9" t="n"/>
      <c r="D233" s="10" t="n"/>
      <c r="E233" s="9" t="n"/>
      <c r="F233" s="9" t="n"/>
      <c r="G233" s="9" t="n"/>
      <c r="H233" s="9" t="n"/>
    </row>
    <row r="234">
      <c r="A234" s="9" t="n"/>
      <c r="B234" s="9" t="n"/>
      <c r="C234" s="9" t="n"/>
      <c r="D234" s="10" t="n"/>
      <c r="E234" s="9" t="n"/>
      <c r="F234" s="9" t="n"/>
      <c r="G234" s="9" t="n"/>
      <c r="H234" s="9" t="n"/>
    </row>
    <row r="235">
      <c r="A235" s="9" t="n"/>
      <c r="B235" s="9" t="n"/>
      <c r="C235" s="9" t="n"/>
      <c r="D235" s="10" t="n"/>
      <c r="E235" s="9" t="n"/>
      <c r="F235" s="9" t="n"/>
      <c r="G235" s="9" t="n"/>
      <c r="H235" s="9" t="n"/>
    </row>
    <row r="236">
      <c r="A236" s="9" t="n"/>
      <c r="B236" s="9" t="n"/>
      <c r="C236" s="9" t="n"/>
      <c r="D236" s="10" t="n"/>
      <c r="E236" s="9" t="n"/>
      <c r="F236" s="9" t="n"/>
      <c r="G236" s="9" t="n"/>
      <c r="H236" s="9" t="n"/>
    </row>
    <row r="237">
      <c r="A237" s="9" t="n"/>
      <c r="B237" s="9" t="n"/>
      <c r="C237" s="9" t="n"/>
      <c r="D237" s="10" t="n"/>
      <c r="E237" s="9" t="n"/>
      <c r="F237" s="9" t="n"/>
      <c r="G237" s="9" t="n"/>
      <c r="H237" s="9" t="n"/>
    </row>
    <row r="238">
      <c r="A238" s="9" t="n"/>
      <c r="B238" s="9" t="n"/>
      <c r="C238" s="9" t="n"/>
      <c r="D238" s="10" t="n"/>
      <c r="E238" s="9" t="n"/>
      <c r="F238" s="9" t="n"/>
      <c r="G238" s="9" t="n"/>
      <c r="H238" s="9" t="n"/>
    </row>
    <row r="239">
      <c r="A239" s="9" t="n"/>
      <c r="B239" s="9" t="n"/>
      <c r="C239" s="9" t="n"/>
      <c r="D239" s="10" t="n"/>
      <c r="E239" s="9" t="n"/>
      <c r="F239" s="9" t="n"/>
      <c r="G239" s="9" t="n"/>
      <c r="H239" s="9" t="n"/>
    </row>
    <row r="240">
      <c r="A240" s="9" t="n"/>
      <c r="B240" s="9" t="n"/>
      <c r="C240" s="9" t="n"/>
      <c r="D240" s="10" t="n"/>
      <c r="E240" s="9" t="n"/>
      <c r="F240" s="9" t="n"/>
      <c r="G240" s="9" t="n"/>
      <c r="H240" s="9" t="n"/>
    </row>
    <row r="241">
      <c r="A241" s="9" t="n"/>
      <c r="B241" s="9" t="n"/>
      <c r="C241" s="9" t="n"/>
      <c r="D241" s="10" t="n"/>
      <c r="E241" s="9" t="n"/>
      <c r="F241" s="9" t="n"/>
      <c r="G241" s="9" t="n"/>
      <c r="H241" s="9" t="n"/>
    </row>
    <row r="242">
      <c r="A242" s="9" t="n"/>
      <c r="B242" s="9" t="n"/>
      <c r="C242" s="9" t="n"/>
      <c r="D242" s="10" t="n"/>
      <c r="E242" s="9" t="n"/>
      <c r="F242" s="9" t="n"/>
      <c r="G242" s="9" t="n"/>
      <c r="H242" s="9" t="n"/>
    </row>
    <row r="243">
      <c r="A243" s="9" t="n"/>
      <c r="B243" s="9" t="n"/>
      <c r="C243" s="9" t="n"/>
      <c r="D243" s="10" t="n"/>
      <c r="E243" s="9" t="n"/>
      <c r="F243" s="9" t="n"/>
      <c r="G243" s="9" t="n"/>
      <c r="H243" s="9" t="n"/>
    </row>
    <row r="244">
      <c r="A244" s="9" t="n"/>
      <c r="B244" s="9" t="n"/>
      <c r="C244" s="9" t="n"/>
      <c r="D244" s="10" t="n"/>
      <c r="E244" s="9" t="n"/>
      <c r="F244" s="9" t="n"/>
      <c r="G244" s="9" t="n"/>
      <c r="H244" s="9" t="n"/>
    </row>
    <row r="245">
      <c r="A245" s="9" t="n"/>
      <c r="B245" s="9" t="n"/>
      <c r="C245" s="9" t="n"/>
      <c r="D245" s="10" t="n"/>
      <c r="E245" s="9" t="n"/>
      <c r="F245" s="9" t="n"/>
      <c r="G245" s="9" t="n"/>
      <c r="H245" s="9" t="n"/>
    </row>
    <row r="246">
      <c r="A246" s="9" t="n"/>
      <c r="B246" s="9" t="n"/>
      <c r="C246" s="9" t="n"/>
      <c r="D246" s="10" t="n"/>
      <c r="E246" s="9" t="n"/>
      <c r="F246" s="9" t="n"/>
      <c r="G246" s="9" t="n"/>
      <c r="H246" s="9" t="n"/>
    </row>
    <row r="247">
      <c r="A247" s="9" t="n"/>
      <c r="B247" s="9" t="n"/>
      <c r="C247" s="9" t="n"/>
      <c r="D247" s="10" t="n"/>
      <c r="E247" s="9" t="n"/>
      <c r="F247" s="9" t="n"/>
      <c r="G247" s="9" t="n"/>
      <c r="H247" s="9" t="n"/>
    </row>
    <row r="248">
      <c r="A248" s="9" t="n"/>
      <c r="B248" s="9" t="n"/>
      <c r="C248" s="9" t="n"/>
      <c r="D248" s="10" t="n"/>
      <c r="E248" s="9" t="n"/>
      <c r="F248" s="9" t="n"/>
      <c r="G248" s="9" t="n"/>
      <c r="H248" s="9" t="n"/>
    </row>
    <row r="249">
      <c r="A249" s="9" t="n"/>
      <c r="B249" s="9" t="n"/>
      <c r="C249" s="9" t="n"/>
      <c r="D249" s="10" t="n"/>
      <c r="E249" s="9" t="n"/>
      <c r="F249" s="9" t="n"/>
      <c r="G249" s="9" t="n"/>
      <c r="H249" s="9" t="n"/>
    </row>
    <row r="250">
      <c r="A250" s="9" t="n"/>
      <c r="B250" s="9" t="n"/>
      <c r="C250" s="9" t="n"/>
      <c r="D250" s="10" t="n"/>
      <c r="E250" s="9" t="n"/>
      <c r="F250" s="9" t="n"/>
      <c r="G250" s="9" t="n"/>
      <c r="H250" s="9" t="n"/>
    </row>
    <row r="251">
      <c r="A251" s="9" t="n"/>
      <c r="B251" s="9" t="n"/>
      <c r="C251" s="9" t="n"/>
      <c r="D251" s="10" t="n"/>
      <c r="E251" s="9" t="n"/>
      <c r="F251" s="9" t="n"/>
      <c r="G251" s="9" t="n"/>
      <c r="H251" s="9" t="n"/>
    </row>
    <row r="252">
      <c r="A252" s="9" t="n"/>
      <c r="B252" s="9" t="n"/>
      <c r="C252" s="9" t="n"/>
      <c r="D252" s="10" t="n"/>
      <c r="E252" s="9" t="n"/>
      <c r="F252" s="9" t="n"/>
      <c r="G252" s="9" t="n"/>
      <c r="H252" s="9" t="n"/>
    </row>
    <row r="253">
      <c r="A253" s="9" t="n"/>
      <c r="B253" s="9" t="n"/>
      <c r="C253" s="9" t="n"/>
      <c r="D253" s="10" t="n"/>
      <c r="E253" s="9" t="n"/>
      <c r="F253" s="9" t="n"/>
      <c r="G253" s="9" t="n"/>
      <c r="H253" s="9" t="n"/>
    </row>
    <row r="254">
      <c r="A254" s="9" t="n"/>
      <c r="B254" s="9" t="n"/>
      <c r="C254" s="9" t="n"/>
      <c r="D254" s="10" t="n"/>
      <c r="E254" s="9" t="n"/>
      <c r="F254" s="9" t="n"/>
      <c r="G254" s="9" t="n"/>
      <c r="H254" s="9" t="n"/>
    </row>
    <row r="255">
      <c r="A255" s="9" t="n"/>
      <c r="B255" s="9" t="n"/>
      <c r="C255" s="9" t="n"/>
      <c r="D255" s="10" t="n"/>
      <c r="E255" s="9" t="n"/>
      <c r="F255" s="9" t="n"/>
      <c r="G255" s="9" t="n"/>
      <c r="H255" s="9" t="n"/>
    </row>
    <row r="256">
      <c r="A256" s="9" t="n"/>
      <c r="B256" s="9" t="n"/>
      <c r="C256" s="9" t="n"/>
      <c r="D256" s="10" t="n"/>
      <c r="E256" s="9" t="n"/>
      <c r="F256" s="9" t="n"/>
      <c r="G256" s="9" t="n"/>
      <c r="H256" s="9" t="n"/>
    </row>
    <row r="257">
      <c r="A257" s="9" t="n"/>
      <c r="B257" s="9" t="n"/>
      <c r="C257" s="9" t="n"/>
      <c r="D257" s="10" t="n"/>
      <c r="E257" s="9" t="n"/>
      <c r="F257" s="9" t="n"/>
      <c r="G257" s="9" t="n"/>
      <c r="H257" s="9" t="n"/>
    </row>
    <row r="258">
      <c r="A258" s="9" t="n"/>
      <c r="B258" s="9" t="n"/>
      <c r="C258" s="9" t="n"/>
      <c r="D258" s="10" t="n"/>
      <c r="E258" s="9" t="n"/>
      <c r="F258" s="9" t="n"/>
      <c r="G258" s="9" t="n"/>
      <c r="H258" s="9" t="n"/>
    </row>
    <row r="259">
      <c r="A259" s="9" t="n"/>
      <c r="B259" s="9" t="n"/>
      <c r="C259" s="9" t="n"/>
      <c r="D259" s="10" t="n"/>
      <c r="E259" s="9" t="n"/>
      <c r="F259" s="9" t="n"/>
      <c r="G259" s="9" t="n"/>
      <c r="H259" s="9" t="n"/>
    </row>
    <row r="260">
      <c r="A260" s="9" t="n"/>
      <c r="B260" s="9" t="n"/>
      <c r="C260" s="9" t="n"/>
      <c r="D260" s="10" t="n"/>
      <c r="E260" s="9" t="n"/>
      <c r="F260" s="9" t="n"/>
      <c r="G260" s="9" t="n"/>
      <c r="H260" s="9" t="n"/>
    </row>
    <row r="261">
      <c r="A261" s="9" t="n"/>
      <c r="B261" s="9" t="n"/>
      <c r="C261" s="9" t="n"/>
      <c r="D261" s="10" t="n"/>
      <c r="E261" s="9" t="n"/>
      <c r="F261" s="9" t="n"/>
      <c r="G261" s="9" t="n"/>
      <c r="H261" s="9" t="n"/>
    </row>
    <row r="262">
      <c r="A262" s="9" t="n"/>
      <c r="B262" s="9" t="n"/>
      <c r="C262" s="9" t="n"/>
      <c r="D262" s="10" t="n"/>
      <c r="E262" s="9" t="n"/>
      <c r="F262" s="9" t="n"/>
      <c r="G262" s="9" t="n"/>
      <c r="H262" s="9" t="n"/>
    </row>
    <row r="263">
      <c r="A263" s="9" t="n"/>
      <c r="B263" s="9" t="n"/>
      <c r="C263" s="9" t="n"/>
      <c r="D263" s="10" t="n"/>
      <c r="E263" s="9" t="n"/>
      <c r="F263" s="9" t="n"/>
      <c r="G263" s="9" t="n"/>
      <c r="H263" s="9" t="n"/>
    </row>
    <row r="264">
      <c r="A264" s="9" t="n"/>
      <c r="B264" s="9" t="n"/>
      <c r="C264" s="9" t="n"/>
      <c r="D264" s="10" t="n"/>
      <c r="E264" s="9" t="n"/>
      <c r="F264" s="9" t="n"/>
      <c r="G264" s="9" t="n"/>
      <c r="H264" s="9" t="n"/>
    </row>
    <row r="265">
      <c r="A265" s="9" t="n"/>
      <c r="B265" s="9" t="n"/>
      <c r="C265" s="9" t="n"/>
      <c r="D265" s="10" t="n"/>
      <c r="E265" s="9" t="n"/>
      <c r="F265" s="9" t="n"/>
      <c r="G265" s="9" t="n"/>
      <c r="H265" s="9" t="n"/>
    </row>
    <row r="266">
      <c r="A266" s="9" t="n"/>
      <c r="B266" s="9" t="n"/>
      <c r="C266" s="9" t="n"/>
      <c r="D266" s="10" t="n"/>
      <c r="E266" s="9" t="n"/>
      <c r="F266" s="9" t="n"/>
      <c r="G266" s="9" t="n"/>
      <c r="H266" s="9" t="n"/>
    </row>
    <row r="267">
      <c r="A267" s="9" t="n"/>
      <c r="B267" s="9" t="n"/>
      <c r="C267" s="9" t="n"/>
      <c r="D267" s="10" t="n"/>
      <c r="E267" s="9" t="n"/>
      <c r="F267" s="9" t="n"/>
      <c r="G267" s="9" t="n"/>
      <c r="H267" s="9" t="n"/>
    </row>
    <row r="268">
      <c r="A268" s="9" t="n"/>
      <c r="B268" s="9" t="n"/>
      <c r="C268" s="9" t="n"/>
      <c r="D268" s="10" t="n"/>
      <c r="E268" s="9" t="n"/>
      <c r="F268" s="9" t="n"/>
      <c r="G268" s="9" t="n"/>
      <c r="H268" s="9" t="n"/>
    </row>
    <row r="269">
      <c r="A269" s="9" t="n"/>
      <c r="B269" s="9" t="n"/>
      <c r="C269" s="9" t="n"/>
      <c r="D269" s="10" t="n"/>
      <c r="E269" s="9" t="n"/>
      <c r="F269" s="9" t="n"/>
      <c r="G269" s="9" t="n"/>
      <c r="H269" s="9" t="n"/>
    </row>
    <row r="270">
      <c r="A270" s="9" t="n"/>
      <c r="B270" s="9" t="n"/>
      <c r="C270" s="9" t="n"/>
      <c r="D270" s="10" t="n"/>
      <c r="E270" s="9" t="n"/>
      <c r="F270" s="9" t="n"/>
      <c r="G270" s="9" t="n"/>
      <c r="H270" s="9" t="n"/>
    </row>
    <row r="271">
      <c r="A271" s="9" t="n"/>
      <c r="B271" s="9" t="n"/>
      <c r="C271" s="9" t="n"/>
      <c r="D271" s="10" t="n"/>
      <c r="E271" s="9" t="n"/>
      <c r="F271" s="9" t="n"/>
      <c r="G271" s="9" t="n"/>
      <c r="H271" s="9" t="n"/>
    </row>
    <row r="272">
      <c r="A272" s="9" t="n"/>
      <c r="B272" s="9" t="n"/>
      <c r="C272" s="9" t="n"/>
      <c r="D272" s="10" t="n"/>
      <c r="E272" s="9" t="n"/>
      <c r="F272" s="9" t="n"/>
      <c r="G272" s="9" t="n"/>
      <c r="H272" s="9" t="n"/>
    </row>
    <row r="273">
      <c r="A273" s="9" t="n"/>
      <c r="B273" s="9" t="n"/>
      <c r="C273" s="9" t="n"/>
      <c r="D273" s="10" t="n"/>
      <c r="E273" s="9" t="n"/>
      <c r="F273" s="9" t="n"/>
      <c r="G273" s="9" t="n"/>
      <c r="H273" s="9" t="n"/>
    </row>
    <row r="274">
      <c r="A274" s="9" t="n"/>
      <c r="B274" s="9" t="n"/>
      <c r="C274" s="9" t="n"/>
      <c r="D274" s="10" t="n"/>
      <c r="E274" s="9" t="n"/>
      <c r="F274" s="9" t="n"/>
      <c r="G274" s="9" t="n"/>
      <c r="H274" s="9" t="n"/>
    </row>
    <row r="275">
      <c r="A275" s="9" t="n"/>
      <c r="B275" s="9" t="n"/>
      <c r="C275" s="9" t="n"/>
      <c r="D275" s="10" t="n"/>
      <c r="E275" s="9" t="n"/>
      <c r="F275" s="9" t="n"/>
      <c r="G275" s="9" t="n"/>
      <c r="H275" s="9" t="n"/>
    </row>
    <row r="276">
      <c r="A276" s="9" t="n"/>
      <c r="B276" s="9" t="n"/>
      <c r="C276" s="9" t="n"/>
      <c r="D276" s="10" t="n"/>
      <c r="E276" s="9" t="n"/>
      <c r="F276" s="9" t="n"/>
      <c r="G276" s="9" t="n"/>
      <c r="H276" s="9" t="n"/>
    </row>
    <row r="277">
      <c r="A277" s="9" t="n"/>
      <c r="B277" s="9" t="n"/>
      <c r="C277" s="9" t="n"/>
      <c r="D277" s="10" t="n"/>
      <c r="E277" s="9" t="n"/>
      <c r="F277" s="9" t="n"/>
      <c r="G277" s="9" t="n"/>
      <c r="H277" s="9" t="n"/>
    </row>
    <row r="278">
      <c r="A278" s="9" t="n"/>
      <c r="B278" s="9" t="n"/>
      <c r="C278" s="9" t="n"/>
      <c r="D278" s="10" t="n"/>
      <c r="E278" s="9" t="n"/>
      <c r="F278" s="9" t="n"/>
      <c r="G278" s="9" t="n"/>
      <c r="H278" s="9" t="n"/>
    </row>
    <row r="279">
      <c r="A279" s="9" t="n"/>
      <c r="B279" s="9" t="n"/>
      <c r="C279" s="9" t="n"/>
      <c r="D279" s="10" t="n"/>
      <c r="E279" s="9" t="n"/>
      <c r="F279" s="9" t="n"/>
      <c r="G279" s="9" t="n"/>
      <c r="H279" s="9" t="n"/>
    </row>
    <row r="280">
      <c r="A280" s="9" t="n"/>
      <c r="B280" s="9" t="n"/>
      <c r="C280" s="9" t="n"/>
      <c r="D280" s="10" t="n"/>
      <c r="E280" s="9" t="n"/>
      <c r="F280" s="9" t="n"/>
      <c r="G280" s="9" t="n"/>
      <c r="H280" s="9" t="n"/>
    </row>
    <row r="281">
      <c r="A281" s="9" t="n"/>
      <c r="B281" s="9" t="n"/>
      <c r="C281" s="9" t="n"/>
      <c r="D281" s="10" t="n"/>
      <c r="E281" s="9" t="n"/>
      <c r="F281" s="9" t="n"/>
      <c r="G281" s="9" t="n"/>
      <c r="H281" s="9" t="n"/>
    </row>
    <row r="282">
      <c r="A282" s="9" t="n"/>
      <c r="B282" s="9" t="n"/>
      <c r="C282" s="9" t="n"/>
      <c r="D282" s="10" t="n"/>
      <c r="E282" s="9" t="n"/>
      <c r="F282" s="9" t="n"/>
      <c r="G282" s="9" t="n"/>
      <c r="H282" s="9" t="n"/>
    </row>
    <row r="283">
      <c r="A283" s="9" t="n"/>
      <c r="B283" s="9" t="n"/>
      <c r="C283" s="9" t="n"/>
      <c r="D283" s="10" t="n"/>
      <c r="E283" s="9" t="n"/>
      <c r="F283" s="9" t="n"/>
      <c r="G283" s="9" t="n"/>
      <c r="H283" s="9" t="n"/>
    </row>
    <row r="284">
      <c r="A284" s="9" t="n"/>
      <c r="B284" s="9" t="n"/>
      <c r="C284" s="9" t="n"/>
      <c r="D284" s="10" t="n"/>
      <c r="E284" s="9" t="n"/>
      <c r="F284" s="9" t="n"/>
      <c r="G284" s="9" t="n"/>
      <c r="H284" s="9" t="n"/>
    </row>
    <row r="285">
      <c r="A285" s="9" t="n"/>
      <c r="B285" s="9" t="n"/>
      <c r="C285" s="9" t="n"/>
      <c r="D285" s="10" t="n"/>
      <c r="E285" s="9" t="n"/>
      <c r="F285" s="9" t="n"/>
      <c r="G285" s="9" t="n"/>
      <c r="H285" s="9" t="n"/>
    </row>
    <row r="286">
      <c r="A286" s="9" t="n"/>
      <c r="B286" s="9" t="n"/>
      <c r="C286" s="9" t="n"/>
      <c r="D286" s="10" t="n"/>
      <c r="E286" s="9" t="n"/>
      <c r="F286" s="9" t="n"/>
      <c r="G286" s="9" t="n"/>
      <c r="H286" s="9" t="n"/>
    </row>
    <row r="287">
      <c r="A287" s="9" t="n"/>
      <c r="B287" s="9" t="n"/>
      <c r="C287" s="9" t="n"/>
      <c r="D287" s="10" t="n"/>
      <c r="E287" s="9" t="n"/>
      <c r="F287" s="9" t="n"/>
      <c r="G287" s="9" t="n"/>
      <c r="H287" s="9" t="n"/>
    </row>
    <row r="288">
      <c r="A288" s="9" t="n"/>
      <c r="B288" s="9" t="n"/>
      <c r="C288" s="9" t="n"/>
      <c r="D288" s="10" t="n"/>
      <c r="E288" s="9" t="n"/>
      <c r="F288" s="9" t="n"/>
      <c r="G288" s="9" t="n"/>
      <c r="H288" s="9" t="n"/>
    </row>
    <row r="289">
      <c r="A289" s="9" t="n"/>
      <c r="B289" s="9" t="n"/>
      <c r="C289" s="9" t="n"/>
      <c r="D289" s="10" t="n"/>
      <c r="E289" s="9" t="n"/>
      <c r="F289" s="9" t="n"/>
      <c r="G289" s="9" t="n"/>
      <c r="H289" s="9" t="n"/>
    </row>
    <row r="290">
      <c r="A290" s="9" t="n"/>
      <c r="B290" s="9" t="n"/>
      <c r="C290" s="9" t="n"/>
      <c r="D290" s="10" t="n"/>
      <c r="E290" s="9" t="n"/>
      <c r="F290" s="9" t="n"/>
      <c r="G290" s="9" t="n"/>
      <c r="H290" s="9" t="n"/>
    </row>
    <row r="291">
      <c r="A291" s="9" t="n"/>
      <c r="B291" s="9" t="n"/>
      <c r="C291" s="9" t="n"/>
      <c r="D291" s="10" t="n"/>
      <c r="E291" s="9" t="n"/>
      <c r="F291" s="9" t="n"/>
      <c r="G291" s="9" t="n"/>
      <c r="H291" s="9" t="n"/>
    </row>
    <row r="292">
      <c r="A292" s="9" t="n"/>
      <c r="B292" s="9" t="n"/>
      <c r="C292" s="9" t="n"/>
      <c r="D292" s="10" t="n"/>
      <c r="E292" s="9" t="n"/>
      <c r="F292" s="9" t="n"/>
      <c r="G292" s="9" t="n"/>
      <c r="H292" s="9" t="n"/>
    </row>
    <row r="293">
      <c r="A293" s="9" t="n"/>
      <c r="B293" s="9" t="n"/>
      <c r="C293" s="9" t="n"/>
      <c r="D293" s="10" t="n"/>
      <c r="E293" s="9" t="n"/>
      <c r="F293" s="9" t="n"/>
      <c r="G293" s="9" t="n"/>
      <c r="H293" s="9" t="n"/>
    </row>
    <row r="294">
      <c r="A294" s="9" t="n"/>
      <c r="B294" s="9" t="n"/>
      <c r="C294" s="9" t="n"/>
      <c r="D294" s="10" t="n"/>
      <c r="E294" s="9" t="n"/>
      <c r="F294" s="9" t="n"/>
      <c r="G294" s="9" t="n"/>
      <c r="H294" s="9" t="n"/>
    </row>
    <row r="295">
      <c r="A295" s="9" t="n"/>
      <c r="B295" s="9" t="n"/>
      <c r="C295" s="9" t="n"/>
      <c r="D295" s="10" t="n"/>
      <c r="E295" s="9" t="n"/>
      <c r="F295" s="9" t="n"/>
      <c r="G295" s="9" t="n"/>
      <c r="H295" s="9" t="n"/>
    </row>
    <row r="296">
      <c r="A296" s="9" t="n"/>
      <c r="B296" s="9" t="n"/>
      <c r="C296" s="9" t="n"/>
      <c r="D296" s="10" t="n"/>
      <c r="E296" s="9" t="n"/>
      <c r="F296" s="9" t="n"/>
      <c r="G296" s="9" t="n"/>
      <c r="H296" s="9" t="n"/>
    </row>
    <row r="297">
      <c r="A297" s="9" t="n"/>
      <c r="B297" s="9" t="n"/>
      <c r="C297" s="9" t="n"/>
      <c r="D297" s="10" t="n"/>
      <c r="E297" s="9" t="n"/>
      <c r="F297" s="9" t="n"/>
      <c r="G297" s="9" t="n"/>
      <c r="H297" s="9" t="n"/>
    </row>
    <row r="298">
      <c r="A298" s="9" t="n"/>
      <c r="B298" s="9" t="n"/>
      <c r="C298" s="9" t="n"/>
      <c r="D298" s="10" t="n"/>
      <c r="E298" s="9" t="n"/>
      <c r="F298" s="9" t="n"/>
      <c r="G298" s="9" t="n"/>
      <c r="H298" s="9" t="n"/>
    </row>
    <row r="299">
      <c r="A299" s="9" t="n"/>
      <c r="B299" s="9" t="n"/>
      <c r="C299" s="9" t="n"/>
      <c r="D299" s="10" t="n"/>
      <c r="E299" s="9" t="n"/>
      <c r="F299" s="9" t="n"/>
      <c r="G299" s="9" t="n"/>
      <c r="H299" s="9" t="n"/>
    </row>
    <row r="300">
      <c r="A300" s="9" t="n"/>
      <c r="B300" s="9" t="n"/>
      <c r="C300" s="9" t="n"/>
      <c r="D300" s="10" t="n"/>
      <c r="E300" s="9" t="n"/>
      <c r="F300" s="9" t="n"/>
      <c r="G300" s="9" t="n"/>
      <c r="H300" s="9" t="n"/>
    </row>
    <row r="301">
      <c r="A301" s="9" t="n"/>
      <c r="B301" s="9" t="n"/>
      <c r="C301" s="9" t="n"/>
      <c r="D301" s="10" t="n"/>
      <c r="E301" s="9" t="n"/>
      <c r="F301" s="9" t="n"/>
      <c r="G301" s="9" t="n"/>
      <c r="H301" s="9" t="n"/>
    </row>
    <row r="302">
      <c r="A302" s="9" t="n"/>
      <c r="B302" s="9" t="n"/>
      <c r="C302" s="9" t="n"/>
      <c r="D302" s="10" t="n"/>
      <c r="E302" s="9" t="n"/>
      <c r="F302" s="9" t="n"/>
      <c r="G302" s="9" t="n"/>
      <c r="H302" s="9" t="n"/>
    </row>
    <row r="303">
      <c r="A303" s="9" t="n"/>
      <c r="B303" s="9" t="n"/>
      <c r="C303" s="9" t="n"/>
      <c r="D303" s="10" t="n"/>
      <c r="E303" s="9" t="n"/>
      <c r="F303" s="9" t="n"/>
      <c r="G303" s="9" t="n"/>
      <c r="H303" s="9" t="n"/>
    </row>
    <row r="304">
      <c r="A304" s="9" t="n"/>
      <c r="B304" s="9" t="n"/>
      <c r="C304" s="9" t="n"/>
      <c r="D304" s="10" t="n"/>
      <c r="E304" s="9" t="n"/>
      <c r="F304" s="9" t="n"/>
      <c r="G304" s="9" t="n"/>
      <c r="H304" s="9" t="n"/>
    </row>
    <row r="305">
      <c r="A305" s="9" t="n"/>
      <c r="B305" s="9" t="n"/>
      <c r="C305" s="9" t="n"/>
      <c r="D305" s="10" t="n"/>
      <c r="E305" s="9" t="n"/>
      <c r="F305" s="9" t="n"/>
      <c r="G305" s="9" t="n"/>
      <c r="H305" s="9" t="n"/>
    </row>
    <row r="306">
      <c r="A306" s="9" t="n"/>
      <c r="B306" s="9" t="n"/>
      <c r="C306" s="9" t="n"/>
      <c r="D306" s="10" t="n"/>
      <c r="E306" s="9" t="n"/>
      <c r="F306" s="9" t="n"/>
      <c r="G306" s="9" t="n"/>
      <c r="H306" s="9" t="n"/>
    </row>
    <row r="307">
      <c r="A307" s="9" t="n"/>
      <c r="B307" s="9" t="n"/>
      <c r="C307" s="9" t="n"/>
      <c r="D307" s="10" t="n"/>
      <c r="E307" s="9" t="n"/>
      <c r="F307" s="9" t="n"/>
      <c r="G307" s="9" t="n"/>
      <c r="H307" s="9" t="n"/>
    </row>
    <row r="308">
      <c r="A308" s="9" t="n"/>
      <c r="B308" s="9" t="n"/>
      <c r="C308" s="9" t="n"/>
      <c r="D308" s="10" t="n"/>
      <c r="E308" s="9" t="n"/>
      <c r="F308" s="9" t="n"/>
      <c r="G308" s="9" t="n"/>
      <c r="H308" s="9" t="n"/>
    </row>
    <row r="309">
      <c r="A309" s="9" t="n"/>
      <c r="B309" s="9" t="n"/>
      <c r="C309" s="9" t="n"/>
      <c r="D309" s="10" t="n"/>
      <c r="E309" s="9" t="n"/>
      <c r="F309" s="9" t="n"/>
      <c r="G309" s="9" t="n"/>
      <c r="H309" s="9" t="n"/>
    </row>
    <row r="310">
      <c r="A310" s="9" t="n"/>
      <c r="B310" s="9" t="n"/>
      <c r="C310" s="9" t="n"/>
      <c r="D310" s="10" t="n"/>
      <c r="E310" s="9" t="n"/>
      <c r="F310" s="9" t="n"/>
      <c r="G310" s="9" t="n"/>
      <c r="H310" s="9" t="n"/>
    </row>
    <row r="311">
      <c r="A311" s="9" t="n"/>
      <c r="B311" s="9" t="n"/>
      <c r="C311" s="9" t="n"/>
      <c r="D311" s="10" t="n"/>
      <c r="E311" s="9" t="n"/>
      <c r="F311" s="9" t="n"/>
      <c r="G311" s="9" t="n"/>
      <c r="H311" s="9" t="n"/>
    </row>
    <row r="312">
      <c r="A312" s="9" t="n"/>
      <c r="B312" s="9" t="n"/>
      <c r="C312" s="9" t="n"/>
      <c r="D312" s="10" t="n"/>
      <c r="E312" s="9" t="n"/>
      <c r="F312" s="9" t="n"/>
      <c r="G312" s="9" t="n"/>
      <c r="H312" s="9" t="n"/>
    </row>
    <row r="313">
      <c r="A313" s="9" t="n"/>
      <c r="B313" s="9" t="n"/>
      <c r="C313" s="9" t="n"/>
      <c r="D313" s="10" t="n"/>
      <c r="E313" s="9" t="n"/>
      <c r="F313" s="9" t="n"/>
      <c r="G313" s="9" t="n"/>
      <c r="H313" s="9" t="n"/>
    </row>
    <row r="314">
      <c r="A314" s="9" t="n"/>
      <c r="B314" s="9" t="n"/>
      <c r="C314" s="9" t="n"/>
      <c r="D314" s="10" t="n"/>
      <c r="E314" s="9" t="n"/>
      <c r="F314" s="9" t="n"/>
      <c r="G314" s="9" t="n"/>
      <c r="H314" s="9" t="n"/>
    </row>
    <row r="315">
      <c r="A315" s="9" t="n"/>
      <c r="B315" s="9" t="n"/>
      <c r="C315" s="9" t="n"/>
      <c r="D315" s="10" t="n"/>
      <c r="E315" s="9" t="n"/>
      <c r="F315" s="9" t="n"/>
      <c r="G315" s="9" t="n"/>
      <c r="H315" s="9" t="n"/>
    </row>
    <row r="316">
      <c r="A316" s="9" t="n"/>
      <c r="B316" s="9" t="n"/>
      <c r="C316" s="9" t="n"/>
      <c r="D316" s="10" t="n"/>
      <c r="E316" s="9" t="n"/>
      <c r="F316" s="9" t="n"/>
      <c r="G316" s="9" t="n"/>
      <c r="H316" s="9" t="n"/>
    </row>
    <row r="317">
      <c r="A317" s="9" t="n"/>
      <c r="B317" s="9" t="n"/>
      <c r="C317" s="9" t="n"/>
      <c r="D317" s="10" t="n"/>
      <c r="E317" s="9" t="n"/>
      <c r="F317" s="9" t="n"/>
      <c r="G317" s="9" t="n"/>
      <c r="H317" s="9" t="n"/>
    </row>
    <row r="318">
      <c r="A318" s="9" t="n"/>
      <c r="B318" s="9" t="n"/>
      <c r="C318" s="9" t="n"/>
      <c r="D318" s="10" t="n"/>
      <c r="E318" s="9" t="n"/>
      <c r="F318" s="9" t="n"/>
      <c r="G318" s="9" t="n"/>
      <c r="H318" s="9" t="n"/>
    </row>
    <row r="319">
      <c r="A319" s="9" t="n"/>
      <c r="B319" s="9" t="n"/>
      <c r="C319" s="9" t="n"/>
      <c r="D319" s="10" t="n"/>
      <c r="E319" s="9" t="n"/>
      <c r="F319" s="9" t="n"/>
      <c r="G319" s="9" t="n"/>
      <c r="H319" s="9" t="n"/>
    </row>
    <row r="320">
      <c r="A320" s="9" t="n"/>
      <c r="B320" s="9" t="n"/>
      <c r="C320" s="9" t="n"/>
      <c r="D320" s="10" t="n"/>
      <c r="E320" s="9" t="n"/>
      <c r="F320" s="9" t="n"/>
      <c r="G320" s="9" t="n"/>
      <c r="H320" s="9" t="n"/>
    </row>
    <row r="321">
      <c r="A321" s="9" t="n"/>
      <c r="B321" s="9" t="n"/>
      <c r="C321" s="9" t="n"/>
      <c r="D321" s="10" t="n"/>
      <c r="E321" s="9" t="n"/>
      <c r="F321" s="9" t="n"/>
      <c r="G321" s="9" t="n"/>
      <c r="H321" s="9" t="n"/>
    </row>
    <row r="322">
      <c r="A322" s="9" t="n"/>
      <c r="B322" s="9" t="n"/>
      <c r="C322" s="9" t="n"/>
      <c r="D322" s="10" t="n"/>
      <c r="E322" s="9" t="n"/>
      <c r="F322" s="9" t="n"/>
      <c r="G322" s="9" t="n"/>
      <c r="H322" s="9" t="n"/>
    </row>
    <row r="323">
      <c r="A323" s="9" t="n"/>
      <c r="B323" s="9" t="n"/>
      <c r="C323" s="9" t="n"/>
      <c r="D323" s="10" t="n"/>
      <c r="E323" s="9" t="n"/>
      <c r="F323" s="9" t="n"/>
      <c r="G323" s="9" t="n"/>
      <c r="H323" s="9" t="n"/>
    </row>
    <row r="324">
      <c r="A324" s="9" t="n"/>
      <c r="B324" s="9" t="n"/>
      <c r="C324" s="9" t="n"/>
      <c r="D324" s="10" t="n"/>
      <c r="E324" s="9" t="n"/>
      <c r="F324" s="9" t="n"/>
      <c r="G324" s="9" t="n"/>
      <c r="H324" s="9" t="n"/>
    </row>
    <row r="325">
      <c r="A325" s="9" t="n"/>
      <c r="B325" s="9" t="n"/>
      <c r="C325" s="9" t="n"/>
      <c r="D325" s="10" t="n"/>
      <c r="E325" s="9" t="n"/>
      <c r="F325" s="9" t="n"/>
      <c r="G325" s="9" t="n"/>
      <c r="H325" s="9" t="n"/>
    </row>
    <row r="326">
      <c r="A326" s="9" t="n"/>
      <c r="B326" s="9" t="n"/>
      <c r="C326" s="9" t="n"/>
      <c r="D326" s="10" t="n"/>
      <c r="E326" s="9" t="n"/>
      <c r="F326" s="9" t="n"/>
      <c r="G326" s="9" t="n"/>
      <c r="H326" s="9" t="n"/>
    </row>
    <row r="327">
      <c r="A327" s="9" t="n"/>
      <c r="B327" s="9" t="n"/>
      <c r="C327" s="9" t="n"/>
      <c r="D327" s="10" t="n"/>
      <c r="E327" s="9" t="n"/>
      <c r="F327" s="9" t="n"/>
      <c r="G327" s="9" t="n"/>
      <c r="H327" s="9" t="n"/>
    </row>
    <row r="328">
      <c r="A328" s="9" t="n"/>
      <c r="B328" s="9" t="n"/>
      <c r="C328" s="9" t="n"/>
      <c r="D328" s="10" t="n"/>
      <c r="E328" s="9" t="n"/>
      <c r="F328" s="9" t="n"/>
      <c r="G328" s="9" t="n"/>
      <c r="H328" s="9" t="n"/>
    </row>
    <row r="329">
      <c r="A329" s="9" t="n"/>
      <c r="B329" s="9" t="n"/>
      <c r="C329" s="9" t="n"/>
      <c r="D329" s="10" t="n"/>
      <c r="E329" s="9" t="n"/>
      <c r="F329" s="9" t="n"/>
      <c r="G329" s="9" t="n"/>
      <c r="H329" s="9" t="n"/>
    </row>
    <row r="330">
      <c r="A330" s="9" t="n"/>
      <c r="B330" s="9" t="n"/>
      <c r="C330" s="9" t="n"/>
      <c r="D330" s="10" t="n"/>
      <c r="E330" s="9" t="n"/>
      <c r="F330" s="9" t="n"/>
      <c r="G330" s="9" t="n"/>
      <c r="H330" s="9" t="n"/>
    </row>
    <row r="331">
      <c r="A331" s="9" t="n"/>
      <c r="B331" s="9" t="n"/>
      <c r="C331" s="9" t="n"/>
      <c r="D331" s="10" t="n"/>
      <c r="E331" s="9" t="n"/>
      <c r="F331" s="9" t="n"/>
      <c r="G331" s="9" t="n"/>
      <c r="H331" s="9" t="n"/>
    </row>
    <row r="332">
      <c r="A332" s="9" t="n"/>
      <c r="B332" s="9" t="n"/>
      <c r="C332" s="9" t="n"/>
      <c r="D332" s="10" t="n"/>
      <c r="E332" s="9" t="n"/>
      <c r="F332" s="9" t="n"/>
      <c r="G332" s="9" t="n"/>
      <c r="H332" s="9" t="n"/>
    </row>
    <row r="333">
      <c r="A333" s="9" t="n"/>
      <c r="B333" s="9" t="n"/>
      <c r="C333" s="9" t="n"/>
      <c r="D333" s="10" t="n"/>
      <c r="E333" s="9" t="n"/>
      <c r="F333" s="9" t="n"/>
      <c r="G333" s="9" t="n"/>
      <c r="H333" s="9" t="n"/>
    </row>
    <row r="334">
      <c r="A334" s="9" t="n"/>
      <c r="B334" s="9" t="n"/>
      <c r="C334" s="9" t="n"/>
      <c r="D334" s="10" t="n"/>
      <c r="E334" s="9" t="n"/>
      <c r="F334" s="9" t="n"/>
      <c r="G334" s="9" t="n"/>
      <c r="H334" s="9" t="n"/>
    </row>
    <row r="335">
      <c r="A335" s="9" t="n"/>
      <c r="B335" s="9" t="n"/>
      <c r="C335" s="9" t="n"/>
      <c r="D335" s="10" t="n"/>
      <c r="E335" s="9" t="n"/>
      <c r="F335" s="9" t="n"/>
      <c r="G335" s="9" t="n"/>
      <c r="H335" s="9" t="n"/>
    </row>
    <row r="336">
      <c r="A336" s="9" t="n"/>
      <c r="B336" s="9" t="n"/>
      <c r="C336" s="9" t="n"/>
      <c r="D336" s="10" t="n"/>
      <c r="E336" s="9" t="n"/>
      <c r="F336" s="9" t="n"/>
      <c r="G336" s="9" t="n"/>
      <c r="H336" s="9" t="n"/>
    </row>
    <row r="337">
      <c r="A337" s="9" t="n"/>
      <c r="B337" s="9" t="n"/>
      <c r="C337" s="9" t="n"/>
      <c r="D337" s="10" t="n"/>
      <c r="E337" s="9" t="n"/>
      <c r="F337" s="9" t="n"/>
      <c r="G337" s="9" t="n"/>
      <c r="H337" s="9" t="n"/>
    </row>
    <row r="338">
      <c r="A338" s="9" t="n"/>
      <c r="B338" s="9" t="n"/>
      <c r="C338" s="9" t="n"/>
      <c r="D338" s="10" t="n"/>
      <c r="E338" s="9" t="n"/>
      <c r="F338" s="9" t="n"/>
      <c r="G338" s="9" t="n"/>
      <c r="H338" s="9" t="n"/>
    </row>
    <row r="339">
      <c r="A339" s="9" t="n"/>
      <c r="B339" s="9" t="n"/>
      <c r="C339" s="9" t="n"/>
      <c r="D339" s="10" t="n"/>
      <c r="E339" s="9" t="n"/>
      <c r="F339" s="9" t="n"/>
      <c r="G339" s="9" t="n"/>
      <c r="H339" s="9" t="n"/>
    </row>
    <row r="340">
      <c r="A340" s="9" t="n"/>
      <c r="B340" s="9" t="n"/>
      <c r="C340" s="9" t="n"/>
      <c r="D340" s="10" t="n"/>
      <c r="E340" s="9" t="n"/>
      <c r="F340" s="9" t="n"/>
      <c r="G340" s="9" t="n"/>
      <c r="H340" s="9" t="n"/>
    </row>
    <row r="341">
      <c r="A341" s="9" t="n"/>
      <c r="B341" s="9" t="n"/>
      <c r="C341" s="9" t="n"/>
      <c r="D341" s="10" t="n"/>
      <c r="E341" s="9" t="n"/>
      <c r="F341" s="9" t="n"/>
      <c r="G341" s="9" t="n"/>
      <c r="H341" s="9" t="n"/>
    </row>
    <row r="342">
      <c r="A342" s="9" t="n"/>
      <c r="B342" s="9" t="n"/>
      <c r="C342" s="9" t="n"/>
      <c r="D342" s="10" t="n"/>
      <c r="E342" s="9" t="n"/>
      <c r="F342" s="9" t="n"/>
      <c r="G342" s="9" t="n"/>
      <c r="H342" s="9" t="n"/>
    </row>
    <row r="343">
      <c r="A343" s="9" t="n"/>
      <c r="B343" s="9" t="n"/>
      <c r="C343" s="9" t="n"/>
      <c r="D343" s="10" t="n"/>
      <c r="E343" s="9" t="n"/>
      <c r="F343" s="9" t="n"/>
      <c r="G343" s="9" t="n"/>
      <c r="H343" s="9" t="n"/>
    </row>
    <row r="344">
      <c r="A344" s="9" t="n"/>
      <c r="B344" s="9" t="n"/>
      <c r="C344" s="9" t="n"/>
      <c r="D344" s="10" t="n"/>
      <c r="E344" s="9" t="n"/>
      <c r="F344" s="9" t="n"/>
      <c r="G344" s="9" t="n"/>
      <c r="H344" s="9" t="n"/>
    </row>
    <row r="345">
      <c r="A345" s="9" t="n"/>
      <c r="B345" s="9" t="n"/>
      <c r="C345" s="9" t="n"/>
      <c r="D345" s="10" t="n"/>
      <c r="E345" s="9" t="n"/>
      <c r="F345" s="9" t="n"/>
      <c r="G345" s="9" t="n"/>
      <c r="H345" s="9" t="n"/>
    </row>
    <row r="346">
      <c r="A346" s="9" t="n"/>
      <c r="B346" s="9" t="n"/>
      <c r="C346" s="9" t="n"/>
      <c r="D346" s="10" t="n"/>
      <c r="E346" s="9" t="n"/>
      <c r="F346" s="9" t="n"/>
      <c r="G346" s="9" t="n"/>
      <c r="H346" s="9" t="n"/>
    </row>
    <row r="347">
      <c r="A347" s="9" t="n"/>
      <c r="B347" s="9" t="n"/>
      <c r="C347" s="9" t="n"/>
      <c r="D347" s="10" t="n"/>
      <c r="E347" s="9" t="n"/>
      <c r="F347" s="9" t="n"/>
      <c r="G347" s="9" t="n"/>
      <c r="H347" s="9" t="n"/>
    </row>
    <row r="348">
      <c r="A348" s="9" t="n"/>
      <c r="B348" s="9" t="n"/>
      <c r="C348" s="9" t="n"/>
      <c r="D348" s="10" t="n"/>
      <c r="E348" s="9" t="n"/>
      <c r="F348" s="9" t="n"/>
      <c r="G348" s="9" t="n"/>
      <c r="H348" s="9" t="n"/>
    </row>
    <row r="349">
      <c r="A349" s="9" t="n"/>
      <c r="B349" s="9" t="n"/>
      <c r="C349" s="9" t="n"/>
      <c r="D349" s="10" t="n"/>
      <c r="E349" s="9" t="n"/>
      <c r="F349" s="9" t="n"/>
      <c r="G349" s="9" t="n"/>
      <c r="H349" s="9" t="n"/>
    </row>
    <row r="350">
      <c r="A350" s="9" t="n"/>
      <c r="B350" s="9" t="n"/>
      <c r="C350" s="9" t="n"/>
      <c r="D350" s="10" t="n"/>
      <c r="E350" s="9" t="n"/>
      <c r="F350" s="9" t="n"/>
      <c r="G350" s="9" t="n"/>
      <c r="H350" s="9" t="n"/>
    </row>
    <row r="351">
      <c r="A351" s="9" t="n"/>
      <c r="B351" s="9" t="n"/>
      <c r="C351" s="9" t="n"/>
      <c r="D351" s="10" t="n"/>
      <c r="E351" s="9" t="n"/>
      <c r="F351" s="9" t="n"/>
      <c r="G351" s="9" t="n"/>
      <c r="H351" s="9" t="n"/>
    </row>
    <row r="352">
      <c r="A352" s="9" t="n"/>
      <c r="B352" s="9" t="n"/>
      <c r="C352" s="9" t="n"/>
      <c r="D352" s="10" t="n"/>
      <c r="E352" s="9" t="n"/>
      <c r="F352" s="9" t="n"/>
      <c r="G352" s="9" t="n"/>
      <c r="H352" s="9" t="n"/>
    </row>
    <row r="353">
      <c r="A353" s="9" t="n"/>
      <c r="B353" s="9" t="n"/>
      <c r="C353" s="9" t="n"/>
      <c r="D353" s="10" t="n"/>
      <c r="E353" s="9" t="n"/>
      <c r="F353" s="9" t="n"/>
      <c r="G353" s="9" t="n"/>
      <c r="H353" s="9" t="n"/>
    </row>
    <row r="354">
      <c r="A354" s="9" t="n"/>
      <c r="B354" s="9" t="n"/>
      <c r="C354" s="9" t="n"/>
      <c r="D354" s="10" t="n"/>
      <c r="E354" s="9" t="n"/>
      <c r="F354" s="9" t="n"/>
      <c r="G354" s="9" t="n"/>
      <c r="H354" s="9" t="n"/>
    </row>
    <row r="355">
      <c r="A355" s="9" t="n"/>
      <c r="B355" s="9" t="n"/>
      <c r="C355" s="9" t="n"/>
      <c r="D355" s="10" t="n"/>
      <c r="E355" s="9" t="n"/>
      <c r="F355" s="9" t="n"/>
      <c r="G355" s="9" t="n"/>
      <c r="H355" s="9" t="n"/>
    </row>
    <row r="356">
      <c r="A356" s="9" t="n"/>
      <c r="B356" s="9" t="n"/>
      <c r="C356" s="9" t="n"/>
      <c r="D356" s="10" t="n"/>
      <c r="E356" s="9" t="n"/>
      <c r="F356" s="9" t="n"/>
      <c r="G356" s="9" t="n"/>
      <c r="H356" s="9" t="n"/>
    </row>
    <row r="357">
      <c r="A357" s="9" t="n"/>
      <c r="B357" s="9" t="n"/>
      <c r="C357" s="9" t="n"/>
      <c r="D357" s="10" t="n"/>
      <c r="E357" s="9" t="n"/>
      <c r="F357" s="9" t="n"/>
      <c r="G357" s="9" t="n"/>
      <c r="H357" s="9" t="n"/>
    </row>
    <row r="358">
      <c r="A358" s="9" t="n"/>
      <c r="B358" s="9" t="n"/>
      <c r="C358" s="9" t="n"/>
      <c r="D358" s="10" t="n"/>
      <c r="E358" s="9" t="n"/>
      <c r="F358" s="9" t="n"/>
      <c r="G358" s="9" t="n"/>
      <c r="H358" s="9" t="n"/>
    </row>
    <row r="359">
      <c r="A359" s="9" t="n"/>
      <c r="B359" s="9" t="n"/>
      <c r="C359" s="9" t="n"/>
      <c r="D359" s="10" t="n"/>
      <c r="E359" s="9" t="n"/>
      <c r="F359" s="9" t="n"/>
      <c r="G359" s="9" t="n"/>
      <c r="H359" s="9" t="n"/>
    </row>
    <row r="360">
      <c r="A360" s="9" t="n"/>
      <c r="B360" s="9" t="n"/>
      <c r="C360" s="9" t="n"/>
      <c r="D360" s="10" t="n"/>
      <c r="E360" s="9" t="n"/>
      <c r="F360" s="9" t="n"/>
      <c r="G360" s="9" t="n"/>
      <c r="H360" s="9" t="n"/>
    </row>
    <row r="361">
      <c r="A361" s="9" t="n"/>
      <c r="B361" s="9" t="n"/>
      <c r="C361" s="9" t="n"/>
      <c r="D361" s="10" t="n"/>
      <c r="E361" s="9" t="n"/>
      <c r="F361" s="9" t="n"/>
      <c r="G361" s="9" t="n"/>
      <c r="H361" s="9" t="n"/>
    </row>
    <row r="362">
      <c r="A362" s="9" t="n"/>
      <c r="B362" s="9" t="n"/>
      <c r="C362" s="9" t="n"/>
      <c r="D362" s="10" t="n"/>
      <c r="E362" s="9" t="n"/>
      <c r="F362" s="9" t="n"/>
      <c r="G362" s="9" t="n"/>
      <c r="H362" s="9" t="n"/>
    </row>
    <row r="363">
      <c r="A363" s="9" t="n"/>
      <c r="B363" s="9" t="n"/>
      <c r="C363" s="9" t="n"/>
      <c r="D363" s="10" t="n"/>
      <c r="E363" s="9" t="n"/>
      <c r="F363" s="9" t="n"/>
      <c r="G363" s="9" t="n"/>
      <c r="H363" s="9" t="n"/>
    </row>
    <row r="364">
      <c r="A364" s="9" t="n"/>
      <c r="B364" s="9" t="n"/>
      <c r="C364" s="9" t="n"/>
      <c r="D364" s="10" t="n"/>
      <c r="E364" s="9" t="n"/>
      <c r="F364" s="9" t="n"/>
      <c r="G364" s="9" t="n"/>
      <c r="H364" s="9" t="n"/>
    </row>
    <row r="365">
      <c r="A365" s="9" t="n"/>
      <c r="B365" s="9" t="n"/>
      <c r="C365" s="9" t="n"/>
      <c r="D365" s="10" t="n"/>
      <c r="E365" s="9" t="n"/>
      <c r="F365" s="9" t="n"/>
      <c r="G365" s="9" t="n"/>
      <c r="H365" s="9" t="n"/>
    </row>
    <row r="366">
      <c r="A366" s="9" t="n"/>
      <c r="B366" s="9" t="n"/>
      <c r="C366" s="9" t="n"/>
      <c r="D366" s="10" t="n"/>
      <c r="E366" s="9" t="n"/>
      <c r="F366" s="9" t="n"/>
      <c r="G366" s="9" t="n"/>
      <c r="H366" s="9" t="n"/>
    </row>
    <row r="367">
      <c r="A367" s="9" t="n"/>
      <c r="B367" s="9" t="n"/>
      <c r="C367" s="9" t="n"/>
      <c r="D367" s="10" t="n"/>
      <c r="E367" s="9" t="n"/>
      <c r="F367" s="9" t="n"/>
      <c r="G367" s="9" t="n"/>
      <c r="H367" s="9" t="n"/>
    </row>
    <row r="368">
      <c r="A368" s="9" t="n"/>
      <c r="B368" s="9" t="n"/>
      <c r="C368" s="9" t="n"/>
      <c r="D368" s="10" t="n"/>
      <c r="E368" s="9" t="n"/>
      <c r="F368" s="9" t="n"/>
      <c r="G368" s="9" t="n"/>
      <c r="H368" s="9" t="n"/>
    </row>
    <row r="369">
      <c r="A369" s="9" t="n"/>
      <c r="B369" s="9" t="n"/>
      <c r="C369" s="9" t="n"/>
      <c r="D369" s="10" t="n"/>
      <c r="E369" s="9" t="n"/>
      <c r="F369" s="9" t="n"/>
      <c r="G369" s="9" t="n"/>
      <c r="H369" s="9" t="n"/>
    </row>
    <row r="370">
      <c r="A370" s="9" t="n"/>
      <c r="B370" s="9" t="n"/>
      <c r="C370" s="9" t="n"/>
      <c r="D370" s="10" t="n"/>
      <c r="E370" s="9" t="n"/>
      <c r="F370" s="9" t="n"/>
      <c r="G370" s="9" t="n"/>
      <c r="H370" s="9" t="n"/>
    </row>
    <row r="371">
      <c r="A371" s="9" t="n"/>
      <c r="B371" s="9" t="n"/>
      <c r="C371" s="9" t="n"/>
      <c r="D371" s="10" t="n"/>
      <c r="E371" s="9" t="n"/>
      <c r="F371" s="9" t="n"/>
      <c r="G371" s="9" t="n"/>
      <c r="H371" s="9" t="n"/>
    </row>
    <row r="372">
      <c r="A372" s="9" t="n"/>
      <c r="B372" s="9" t="n"/>
      <c r="C372" s="9" t="n"/>
      <c r="D372" s="10" t="n"/>
      <c r="E372" s="9" t="n"/>
      <c r="F372" s="9" t="n"/>
      <c r="G372" s="9" t="n"/>
      <c r="H372" s="9" t="n"/>
    </row>
    <row r="373">
      <c r="A373" s="9" t="n"/>
      <c r="B373" s="9" t="n"/>
      <c r="C373" s="9" t="n"/>
      <c r="D373" s="10" t="n"/>
      <c r="E373" s="9" t="n"/>
      <c r="F373" s="9" t="n"/>
      <c r="G373" s="9" t="n"/>
      <c r="H373" s="9" t="n"/>
    </row>
    <row r="374">
      <c r="A374" s="9" t="n"/>
      <c r="B374" s="9" t="n"/>
      <c r="C374" s="9" t="n"/>
      <c r="D374" s="10" t="n"/>
      <c r="E374" s="9" t="n"/>
      <c r="F374" s="9" t="n"/>
      <c r="G374" s="9" t="n"/>
      <c r="H374" s="9" t="n"/>
    </row>
    <row r="375">
      <c r="A375" s="9" t="n"/>
      <c r="B375" s="9" t="n"/>
      <c r="C375" s="9" t="n"/>
      <c r="D375" s="10" t="n"/>
      <c r="E375" s="9" t="n"/>
      <c r="F375" s="9" t="n"/>
      <c r="G375" s="9" t="n"/>
      <c r="H375" s="9" t="n"/>
    </row>
    <row r="376">
      <c r="A376" s="9" t="n"/>
      <c r="B376" s="9" t="n"/>
      <c r="C376" s="9" t="n"/>
      <c r="D376" s="10" t="n"/>
      <c r="E376" s="9" t="n"/>
      <c r="F376" s="9" t="n"/>
      <c r="G376" s="9" t="n"/>
      <c r="H376" s="9" t="n"/>
    </row>
    <row r="377">
      <c r="A377" s="9" t="n"/>
      <c r="B377" s="9" t="n"/>
      <c r="C377" s="9" t="n"/>
      <c r="D377" s="10" t="n"/>
      <c r="E377" s="9" t="n"/>
      <c r="F377" s="9" t="n"/>
      <c r="G377" s="9" t="n"/>
      <c r="H377" s="9" t="n"/>
    </row>
    <row r="378">
      <c r="A378" s="9" t="n"/>
      <c r="B378" s="9" t="n"/>
      <c r="C378" s="9" t="n"/>
      <c r="D378" s="10" t="n"/>
      <c r="E378" s="9" t="n"/>
      <c r="F378" s="9" t="n"/>
      <c r="G378" s="9" t="n"/>
      <c r="H378" s="9" t="n"/>
    </row>
    <row r="379">
      <c r="A379" s="9" t="n"/>
      <c r="B379" s="9" t="n"/>
      <c r="C379" s="9" t="n"/>
      <c r="D379" s="10" t="n"/>
      <c r="E379" s="9" t="n"/>
      <c r="F379" s="9" t="n"/>
      <c r="G379" s="9" t="n"/>
      <c r="H379" s="9" t="n"/>
    </row>
    <row r="380">
      <c r="A380" s="9" t="n"/>
      <c r="B380" s="9" t="n"/>
      <c r="C380" s="9" t="n"/>
      <c r="D380" s="10" t="n"/>
      <c r="E380" s="9" t="n"/>
      <c r="F380" s="9" t="n"/>
      <c r="G380" s="9" t="n"/>
      <c r="H380" s="9" t="n"/>
    </row>
    <row r="381">
      <c r="A381" s="9" t="n"/>
      <c r="B381" s="9" t="n"/>
      <c r="C381" s="9" t="n"/>
      <c r="D381" s="10" t="n"/>
      <c r="E381" s="9" t="n"/>
      <c r="F381" s="9" t="n"/>
      <c r="G381" s="9" t="n"/>
      <c r="H381" s="9" t="n"/>
    </row>
    <row r="382">
      <c r="A382" s="9" t="n"/>
      <c r="B382" s="9" t="n"/>
      <c r="C382" s="9" t="n"/>
      <c r="D382" s="10" t="n"/>
      <c r="E382" s="9" t="n"/>
      <c r="F382" s="9" t="n"/>
      <c r="G382" s="9" t="n"/>
      <c r="H382" s="9" t="n"/>
    </row>
    <row r="383">
      <c r="A383" s="9" t="n"/>
      <c r="B383" s="9" t="n"/>
      <c r="C383" s="9" t="n"/>
      <c r="D383" s="10" t="n"/>
      <c r="E383" s="9" t="n"/>
      <c r="F383" s="9" t="n"/>
      <c r="G383" s="9" t="n"/>
      <c r="H383" s="9" t="n"/>
    </row>
    <row r="384">
      <c r="A384" s="9" t="n"/>
      <c r="B384" s="9" t="n"/>
      <c r="C384" s="9" t="n"/>
      <c r="D384" s="10" t="n"/>
      <c r="E384" s="9" t="n"/>
      <c r="F384" s="9" t="n"/>
      <c r="G384" s="9" t="n"/>
      <c r="H384" s="9" t="n"/>
    </row>
    <row r="385">
      <c r="A385" s="9" t="n"/>
      <c r="B385" s="9" t="n"/>
      <c r="C385" s="9" t="n"/>
      <c r="D385" s="10" t="n"/>
      <c r="E385" s="9" t="n"/>
      <c r="F385" s="9" t="n"/>
      <c r="G385" s="9" t="n"/>
      <c r="H385" s="9" t="n"/>
    </row>
    <row r="386">
      <c r="A386" s="9" t="n"/>
      <c r="B386" s="9" t="n"/>
      <c r="C386" s="9" t="n"/>
      <c r="D386" s="10" t="n"/>
      <c r="E386" s="9" t="n"/>
      <c r="F386" s="9" t="n"/>
      <c r="G386" s="9" t="n"/>
      <c r="H386" s="9" t="n"/>
    </row>
    <row r="387">
      <c r="A387" s="9" t="n"/>
      <c r="B387" s="9" t="n"/>
      <c r="C387" s="9" t="n"/>
      <c r="D387" s="10" t="n"/>
      <c r="E387" s="9" t="n"/>
      <c r="F387" s="9" t="n"/>
      <c r="G387" s="9" t="n"/>
      <c r="H387" s="9" t="n"/>
    </row>
    <row r="388">
      <c r="A388" s="9" t="n"/>
      <c r="B388" s="9" t="n"/>
      <c r="C388" s="9" t="n"/>
      <c r="D388" s="10" t="n"/>
      <c r="E388" s="9" t="n"/>
      <c r="F388" s="9" t="n"/>
      <c r="G388" s="9" t="n"/>
      <c r="H388" s="9" t="n"/>
    </row>
    <row r="389">
      <c r="A389" s="9" t="n"/>
      <c r="B389" s="9" t="n"/>
      <c r="C389" s="9" t="n"/>
      <c r="D389" s="10" t="n"/>
      <c r="E389" s="9" t="n"/>
      <c r="F389" s="9" t="n"/>
      <c r="G389" s="9" t="n"/>
      <c r="H389" s="9" t="n"/>
    </row>
    <row r="390">
      <c r="A390" s="9" t="n"/>
      <c r="B390" s="9" t="n"/>
      <c r="C390" s="9" t="n"/>
      <c r="D390" s="10" t="n"/>
      <c r="E390" s="9" t="n"/>
      <c r="F390" s="9" t="n"/>
      <c r="G390" s="9" t="n"/>
      <c r="H390" s="9" t="n"/>
    </row>
    <row r="391">
      <c r="A391" s="9" t="n"/>
      <c r="B391" s="9" t="n"/>
      <c r="C391" s="9" t="n"/>
      <c r="D391" s="10" t="n"/>
      <c r="E391" s="9" t="n"/>
      <c r="F391" s="9" t="n"/>
      <c r="G391" s="9" t="n"/>
      <c r="H391" s="9" t="n"/>
    </row>
    <row r="392">
      <c r="A392" s="9" t="n"/>
      <c r="B392" s="9" t="n"/>
      <c r="C392" s="9" t="n"/>
      <c r="D392" s="10" t="n"/>
      <c r="E392" s="9" t="n"/>
      <c r="F392" s="9" t="n"/>
      <c r="G392" s="9" t="n"/>
      <c r="H392" s="9" t="n"/>
    </row>
    <row r="393">
      <c r="A393" s="9" t="n"/>
      <c r="B393" s="9" t="n"/>
      <c r="C393" s="9" t="n"/>
      <c r="D393" s="10" t="n"/>
      <c r="E393" s="9" t="n"/>
      <c r="F393" s="9" t="n"/>
      <c r="G393" s="9" t="n"/>
      <c r="H393" s="9" t="n"/>
    </row>
    <row r="394">
      <c r="A394" s="9" t="n"/>
      <c r="B394" s="9" t="n"/>
      <c r="C394" s="9" t="n"/>
      <c r="D394" s="10" t="n"/>
      <c r="E394" s="9" t="n"/>
      <c r="F394" s="9" t="n"/>
      <c r="G394" s="9" t="n"/>
      <c r="H394" s="9" t="n"/>
    </row>
    <row r="395">
      <c r="A395" s="9" t="n"/>
      <c r="B395" s="9" t="n"/>
      <c r="C395" s="9" t="n"/>
      <c r="D395" s="10" t="n"/>
      <c r="E395" s="9" t="n"/>
      <c r="F395" s="9" t="n"/>
      <c r="G395" s="9" t="n"/>
      <c r="H395" s="9" t="n"/>
    </row>
    <row r="396">
      <c r="A396" s="9" t="n"/>
      <c r="B396" s="9" t="n"/>
      <c r="C396" s="9" t="n"/>
      <c r="D396" s="10" t="n"/>
      <c r="E396" s="9" t="n"/>
      <c r="F396" s="9" t="n"/>
      <c r="G396" s="9" t="n"/>
      <c r="H396" s="9" t="n"/>
    </row>
    <row r="397">
      <c r="A397" s="9" t="n"/>
      <c r="B397" s="9" t="n"/>
      <c r="C397" s="9" t="n"/>
      <c r="D397" s="10" t="n"/>
      <c r="E397" s="9" t="n"/>
      <c r="F397" s="9" t="n"/>
      <c r="G397" s="9" t="n"/>
      <c r="H397" s="9" t="n"/>
    </row>
    <row r="398">
      <c r="A398" s="9" t="n"/>
      <c r="B398" s="9" t="n"/>
      <c r="C398" s="9" t="n"/>
      <c r="D398" s="10" t="n"/>
      <c r="E398" s="9" t="n"/>
      <c r="F398" s="9" t="n"/>
      <c r="G398" s="9" t="n"/>
      <c r="H398" s="9" t="n"/>
    </row>
    <row r="399">
      <c r="A399" s="9" t="n"/>
      <c r="B399" s="9" t="n"/>
      <c r="C399" s="9" t="n"/>
      <c r="D399" s="10" t="n"/>
      <c r="E399" s="9" t="n"/>
      <c r="F399" s="9" t="n"/>
      <c r="G399" s="9" t="n"/>
      <c r="H399" s="9" t="n"/>
    </row>
    <row r="400">
      <c r="A400" s="9" t="n"/>
      <c r="B400" s="9" t="n"/>
      <c r="C400" s="9" t="n"/>
      <c r="D400" s="10" t="n"/>
      <c r="E400" s="9" t="n"/>
      <c r="F400" s="9" t="n"/>
      <c r="G400" s="9" t="n"/>
      <c r="H400" s="9" t="n"/>
    </row>
    <row r="401">
      <c r="A401" s="9" t="n"/>
      <c r="B401" s="9" t="n"/>
      <c r="C401" s="9" t="n"/>
      <c r="D401" s="10" t="n"/>
      <c r="E401" s="9" t="n"/>
      <c r="F401" s="9" t="n"/>
      <c r="G401" s="9" t="n"/>
      <c r="H401" s="9" t="n"/>
    </row>
    <row r="402">
      <c r="A402" s="9" t="n"/>
      <c r="B402" s="9" t="n"/>
      <c r="C402" s="9" t="n"/>
      <c r="D402" s="10" t="n"/>
      <c r="E402" s="9" t="n"/>
      <c r="F402" s="9" t="n"/>
      <c r="G402" s="9" t="n"/>
      <c r="H402" s="9" t="n"/>
    </row>
    <row r="403">
      <c r="A403" s="9" t="n"/>
      <c r="B403" s="9" t="n"/>
      <c r="C403" s="9" t="n"/>
      <c r="D403" s="10" t="n"/>
      <c r="E403" s="9" t="n"/>
      <c r="F403" s="9" t="n"/>
      <c r="G403" s="9" t="n"/>
      <c r="H403" s="9" t="n"/>
    </row>
    <row r="404">
      <c r="A404" s="9" t="n"/>
      <c r="B404" s="9" t="n"/>
      <c r="C404" s="9" t="n"/>
      <c r="D404" s="10" t="n"/>
      <c r="E404" s="9" t="n"/>
      <c r="F404" s="9" t="n"/>
      <c r="G404" s="9" t="n"/>
      <c r="H404" s="9" t="n"/>
    </row>
    <row r="405">
      <c r="A405" s="9" t="n"/>
      <c r="B405" s="9" t="n"/>
      <c r="C405" s="9" t="n"/>
      <c r="D405" s="10" t="n"/>
      <c r="E405" s="9" t="n"/>
      <c r="F405" s="9" t="n"/>
      <c r="G405" s="9" t="n"/>
      <c r="H405" s="9" t="n"/>
    </row>
    <row r="406">
      <c r="A406" s="9" t="n"/>
      <c r="B406" s="9" t="n"/>
      <c r="C406" s="9" t="n"/>
      <c r="D406" s="10" t="n"/>
      <c r="E406" s="9" t="n"/>
      <c r="F406" s="9" t="n"/>
      <c r="G406" s="9" t="n"/>
      <c r="H406" s="9" t="n"/>
    </row>
    <row r="407">
      <c r="A407" s="9" t="n"/>
      <c r="B407" s="9" t="n"/>
      <c r="C407" s="9" t="n"/>
      <c r="D407" s="10" t="n"/>
      <c r="E407" s="9" t="n"/>
      <c r="F407" s="9" t="n"/>
      <c r="G407" s="9" t="n"/>
      <c r="H407" s="9" t="n"/>
    </row>
    <row r="408">
      <c r="A408" s="9" t="n"/>
      <c r="B408" s="9" t="n"/>
      <c r="C408" s="9" t="n"/>
      <c r="D408" s="10" t="n"/>
      <c r="E408" s="9" t="n"/>
      <c r="F408" s="9" t="n"/>
      <c r="G408" s="9" t="n"/>
      <c r="H408" s="9" t="n"/>
    </row>
    <row r="409">
      <c r="A409" s="9" t="n"/>
      <c r="B409" s="9" t="n"/>
      <c r="C409" s="9" t="n"/>
      <c r="D409" s="10" t="n"/>
      <c r="E409" s="9" t="n"/>
      <c r="F409" s="9" t="n"/>
      <c r="G409" s="9" t="n"/>
      <c r="H409" s="9" t="n"/>
    </row>
    <row r="410">
      <c r="A410" s="9" t="n"/>
      <c r="B410" s="9" t="n"/>
      <c r="C410" s="9" t="n"/>
      <c r="D410" s="10" t="n"/>
      <c r="E410" s="9" t="n"/>
      <c r="F410" s="9" t="n"/>
      <c r="G410" s="9" t="n"/>
      <c r="H410" s="9" t="n"/>
    </row>
    <row r="411">
      <c r="A411" s="9" t="n"/>
      <c r="B411" s="9" t="n"/>
      <c r="C411" s="9" t="n"/>
      <c r="D411" s="10" t="n"/>
      <c r="E411" s="9" t="n"/>
      <c r="F411" s="9" t="n"/>
      <c r="G411" s="9" t="n"/>
      <c r="H411" s="9" t="n"/>
    </row>
    <row r="412">
      <c r="A412" s="9" t="n"/>
      <c r="B412" s="9" t="n"/>
      <c r="C412" s="9" t="n"/>
      <c r="D412" s="10" t="n"/>
      <c r="E412" s="9" t="n"/>
      <c r="F412" s="9" t="n"/>
      <c r="G412" s="9" t="n"/>
      <c r="H412" s="9" t="n"/>
    </row>
    <row r="413">
      <c r="A413" s="9" t="n"/>
      <c r="B413" s="9" t="n"/>
      <c r="C413" s="9" t="n"/>
      <c r="D413" s="10" t="n"/>
      <c r="E413" s="9" t="n"/>
      <c r="F413" s="9" t="n"/>
      <c r="G413" s="9" t="n"/>
      <c r="H413" s="9" t="n"/>
    </row>
    <row r="414">
      <c r="A414" s="9" t="n"/>
      <c r="B414" s="9" t="n"/>
      <c r="C414" s="9" t="n"/>
      <c r="D414" s="10" t="n"/>
      <c r="E414" s="9" t="n"/>
      <c r="F414" s="9" t="n"/>
      <c r="G414" s="9" t="n"/>
      <c r="H414" s="9" t="n"/>
    </row>
    <row r="415">
      <c r="A415" s="9" t="n"/>
      <c r="B415" s="9" t="n"/>
      <c r="C415" s="9" t="n"/>
      <c r="D415" s="10" t="n"/>
      <c r="E415" s="9" t="n"/>
      <c r="F415" s="9" t="n"/>
      <c r="G415" s="9" t="n"/>
      <c r="H415" s="9" t="n"/>
    </row>
    <row r="416">
      <c r="A416" s="9" t="n"/>
      <c r="B416" s="9" t="n"/>
      <c r="C416" s="9" t="n"/>
      <c r="D416" s="10" t="n"/>
      <c r="E416" s="9" t="n"/>
      <c r="F416" s="9" t="n"/>
      <c r="G416" s="9" t="n"/>
      <c r="H416" s="9" t="n"/>
    </row>
    <row r="417">
      <c r="A417" s="9" t="n"/>
      <c r="B417" s="9" t="n"/>
      <c r="C417" s="9" t="n"/>
      <c r="D417" s="10" t="n"/>
      <c r="E417" s="9" t="n"/>
      <c r="F417" s="9" t="n"/>
      <c r="G417" s="9" t="n"/>
      <c r="H417" s="9" t="n"/>
    </row>
    <row r="418">
      <c r="A418" s="9" t="n"/>
      <c r="B418" s="9" t="n"/>
      <c r="C418" s="9" t="n"/>
      <c r="D418" s="10" t="n"/>
      <c r="E418" s="9" t="n"/>
      <c r="F418" s="9" t="n"/>
      <c r="G418" s="9" t="n"/>
      <c r="H418" s="9" t="n"/>
    </row>
    <row r="419">
      <c r="A419" s="9" t="n"/>
      <c r="B419" s="9" t="n"/>
      <c r="C419" s="9" t="n"/>
      <c r="D419" s="10" t="n"/>
      <c r="E419" s="9" t="n"/>
      <c r="F419" s="9" t="n"/>
      <c r="G419" s="9" t="n"/>
      <c r="H419" s="9" t="n"/>
    </row>
    <row r="420">
      <c r="A420" s="9" t="n"/>
      <c r="B420" s="9" t="n"/>
      <c r="C420" s="9" t="n"/>
      <c r="D420" s="10" t="n"/>
      <c r="E420" s="9" t="n"/>
      <c r="F420" s="9" t="n"/>
      <c r="G420" s="9" t="n"/>
      <c r="H420" s="9" t="n"/>
    </row>
    <row r="421">
      <c r="A421" s="9" t="n"/>
      <c r="B421" s="9" t="n"/>
      <c r="C421" s="9" t="n"/>
      <c r="D421" s="10" t="n"/>
      <c r="E421" s="9" t="n"/>
      <c r="F421" s="9" t="n"/>
      <c r="G421" s="9" t="n"/>
      <c r="H421" s="9" t="n"/>
    </row>
    <row r="422">
      <c r="A422" s="9" t="n"/>
      <c r="B422" s="9" t="n"/>
      <c r="C422" s="9" t="n"/>
      <c r="D422" s="10" t="n"/>
      <c r="E422" s="9" t="n"/>
      <c r="F422" s="9" t="n"/>
      <c r="G422" s="9" t="n"/>
      <c r="H422" s="9" t="n"/>
    </row>
    <row r="423">
      <c r="A423" s="9" t="n"/>
      <c r="B423" s="9" t="n"/>
      <c r="C423" s="9" t="n"/>
      <c r="D423" s="10" t="n"/>
      <c r="E423" s="9" t="n"/>
      <c r="F423" s="9" t="n"/>
      <c r="G423" s="9" t="n"/>
      <c r="H423" s="9" t="n"/>
    </row>
    <row r="424">
      <c r="A424" s="9" t="n"/>
      <c r="B424" s="9" t="n"/>
      <c r="C424" s="9" t="n"/>
      <c r="D424" s="10" t="n"/>
      <c r="E424" s="9" t="n"/>
      <c r="F424" s="9" t="n"/>
      <c r="G424" s="9" t="n"/>
      <c r="H424" s="9" t="n"/>
    </row>
    <row r="425">
      <c r="A425" s="9" t="n"/>
      <c r="B425" s="9" t="n"/>
      <c r="C425" s="9" t="n"/>
      <c r="D425" s="10" t="n"/>
      <c r="E425" s="9" t="n"/>
      <c r="F425" s="9" t="n"/>
      <c r="G425" s="9" t="n"/>
      <c r="H425" s="9" t="n"/>
    </row>
    <row r="426">
      <c r="A426" s="9" t="n"/>
      <c r="B426" s="9" t="n"/>
      <c r="C426" s="9" t="n"/>
      <c r="D426" s="10" t="n"/>
      <c r="E426" s="9" t="n"/>
      <c r="F426" s="9" t="n"/>
      <c r="G426" s="9" t="n"/>
      <c r="H426" s="9" t="n"/>
    </row>
    <row r="427">
      <c r="A427" s="9" t="n"/>
      <c r="B427" s="9" t="n"/>
      <c r="C427" s="9" t="n"/>
      <c r="D427" s="10" t="n"/>
      <c r="E427" s="9" t="n"/>
      <c r="F427" s="9" t="n"/>
      <c r="G427" s="9" t="n"/>
      <c r="H427" s="9" t="n"/>
    </row>
    <row r="428">
      <c r="A428" s="9" t="n"/>
      <c r="B428" s="9" t="n"/>
      <c r="C428" s="9" t="n"/>
      <c r="D428" s="10" t="n"/>
      <c r="E428" s="9" t="n"/>
      <c r="F428" s="9" t="n"/>
      <c r="G428" s="9" t="n"/>
      <c r="H428" s="9" t="n"/>
    </row>
    <row r="429">
      <c r="A429" s="9" t="n"/>
      <c r="B429" s="9" t="n"/>
      <c r="C429" s="9" t="n"/>
      <c r="D429" s="10" t="n"/>
      <c r="E429" s="9" t="n"/>
      <c r="F429" s="9" t="n"/>
      <c r="G429" s="9" t="n"/>
      <c r="H429" s="9" t="n"/>
    </row>
    <row r="430">
      <c r="A430" s="9" t="n"/>
      <c r="B430" s="9" t="n"/>
      <c r="C430" s="9" t="n"/>
      <c r="D430" s="10" t="n"/>
      <c r="E430" s="9" t="n"/>
      <c r="F430" s="9" t="n"/>
      <c r="G430" s="9" t="n"/>
      <c r="H430" s="9" t="n"/>
    </row>
    <row r="431">
      <c r="A431" s="9" t="n"/>
      <c r="B431" s="9" t="n"/>
      <c r="C431" s="9" t="n"/>
      <c r="D431" s="10" t="n"/>
      <c r="E431" s="9" t="n"/>
      <c r="F431" s="9" t="n"/>
      <c r="G431" s="9" t="n"/>
      <c r="H431" s="9" t="n"/>
    </row>
    <row r="432">
      <c r="A432" s="9" t="n"/>
      <c r="B432" s="9" t="n"/>
      <c r="C432" s="9" t="n"/>
      <c r="D432" s="10" t="n"/>
      <c r="E432" s="9" t="n"/>
      <c r="F432" s="9" t="n"/>
      <c r="G432" s="9" t="n"/>
      <c r="H432" s="9" t="n"/>
    </row>
    <row r="433">
      <c r="A433" s="9" t="n"/>
      <c r="B433" s="9" t="n"/>
      <c r="C433" s="9" t="n"/>
      <c r="D433" s="10" t="n"/>
      <c r="E433" s="9" t="n"/>
      <c r="F433" s="9" t="n"/>
      <c r="G433" s="9" t="n"/>
      <c r="H433" s="9" t="n"/>
    </row>
    <row r="434">
      <c r="A434" s="9" t="n"/>
      <c r="B434" s="9" t="n"/>
      <c r="C434" s="9" t="n"/>
      <c r="D434" s="10" t="n"/>
      <c r="E434" s="9" t="n"/>
      <c r="F434" s="9" t="n"/>
      <c r="G434" s="9" t="n"/>
      <c r="H434" s="9" t="n"/>
    </row>
    <row r="435">
      <c r="A435" s="9" t="n"/>
      <c r="B435" s="9" t="n"/>
      <c r="C435" s="9" t="n"/>
      <c r="D435" s="10" t="n"/>
      <c r="E435" s="9" t="n"/>
      <c r="F435" s="9" t="n"/>
      <c r="G435" s="9" t="n"/>
      <c r="H435" s="9" t="n"/>
    </row>
    <row r="436">
      <c r="A436" s="9" t="n"/>
      <c r="B436" s="9" t="n"/>
      <c r="C436" s="9" t="n"/>
      <c r="D436" s="10" t="n"/>
      <c r="E436" s="9" t="n"/>
      <c r="F436" s="9" t="n"/>
      <c r="G436" s="9" t="n"/>
      <c r="H436" s="9" t="n"/>
    </row>
    <row r="437">
      <c r="A437" s="9" t="n"/>
      <c r="B437" s="9" t="n"/>
      <c r="C437" s="9" t="n"/>
      <c r="D437" s="10" t="n"/>
      <c r="E437" s="9" t="n"/>
      <c r="F437" s="9" t="n"/>
      <c r="G437" s="9" t="n"/>
      <c r="H437" s="9" t="n"/>
    </row>
    <row r="438">
      <c r="A438" s="9" t="n"/>
      <c r="B438" s="9" t="n"/>
      <c r="C438" s="9" t="n"/>
      <c r="D438" s="10" t="n"/>
      <c r="E438" s="9" t="n"/>
      <c r="F438" s="9" t="n"/>
      <c r="G438" s="9" t="n"/>
      <c r="H438" s="9" t="n"/>
    </row>
    <row r="439">
      <c r="A439" s="9" t="n"/>
      <c r="B439" s="9" t="n"/>
      <c r="C439" s="9" t="n"/>
      <c r="D439" s="10" t="n"/>
      <c r="E439" s="9" t="n"/>
      <c r="F439" s="9" t="n"/>
      <c r="G439" s="9" t="n"/>
      <c r="H439" s="9" t="n"/>
    </row>
    <row r="440">
      <c r="A440" s="9" t="n"/>
      <c r="B440" s="9" t="n"/>
      <c r="C440" s="9" t="n"/>
      <c r="D440" s="10" t="n"/>
      <c r="E440" s="9" t="n"/>
      <c r="F440" s="9" t="n"/>
      <c r="G440" s="9" t="n"/>
      <c r="H440" s="9" t="n"/>
    </row>
    <row r="441">
      <c r="A441" s="9" t="n"/>
      <c r="B441" s="9" t="n"/>
      <c r="C441" s="9" t="n"/>
      <c r="D441" s="10" t="n"/>
      <c r="E441" s="9" t="n"/>
      <c r="F441" s="9" t="n"/>
      <c r="G441" s="9" t="n"/>
      <c r="H441" s="9" t="n"/>
    </row>
    <row r="442">
      <c r="A442" s="9" t="n"/>
      <c r="B442" s="9" t="n"/>
      <c r="C442" s="9" t="n"/>
      <c r="D442" s="10" t="n"/>
      <c r="E442" s="9" t="n"/>
      <c r="F442" s="9" t="n"/>
      <c r="G442" s="9" t="n"/>
      <c r="H442" s="9" t="n"/>
    </row>
    <row r="443">
      <c r="A443" s="9" t="n"/>
      <c r="B443" s="9" t="n"/>
      <c r="C443" s="9" t="n"/>
      <c r="D443" s="10" t="n"/>
      <c r="E443" s="9" t="n"/>
      <c r="F443" s="9" t="n"/>
      <c r="G443" s="9" t="n"/>
      <c r="H443" s="9" t="n"/>
    </row>
    <row r="444">
      <c r="A444" s="9" t="n"/>
      <c r="B444" s="9" t="n"/>
      <c r="C444" s="9" t="n"/>
      <c r="D444" s="10" t="n"/>
      <c r="E444" s="9" t="n"/>
      <c r="F444" s="9" t="n"/>
      <c r="G444" s="9" t="n"/>
      <c r="H444" s="9" t="n"/>
    </row>
    <row r="445">
      <c r="A445" s="9" t="n"/>
      <c r="B445" s="9" t="n"/>
      <c r="C445" s="9" t="n"/>
      <c r="D445" s="10" t="n"/>
      <c r="E445" s="9" t="n"/>
      <c r="F445" s="9" t="n"/>
      <c r="G445" s="9" t="n"/>
      <c r="H445" s="9" t="n"/>
    </row>
    <row r="446">
      <c r="A446" s="9" t="n"/>
      <c r="B446" s="9" t="n"/>
      <c r="C446" s="9" t="n"/>
      <c r="D446" s="10" t="n"/>
      <c r="E446" s="9" t="n"/>
      <c r="F446" s="9" t="n"/>
      <c r="G446" s="9" t="n"/>
      <c r="H446" s="9" t="n"/>
    </row>
    <row r="447">
      <c r="A447" s="9" t="n"/>
      <c r="B447" s="9" t="n"/>
      <c r="C447" s="9" t="n"/>
      <c r="D447" s="10" t="n"/>
      <c r="E447" s="9" t="n"/>
      <c r="F447" s="9" t="n"/>
      <c r="G447" s="9" t="n"/>
      <c r="H447" s="9" t="n"/>
    </row>
    <row r="448">
      <c r="A448" s="9" t="n"/>
      <c r="B448" s="9" t="n"/>
      <c r="C448" s="9" t="n"/>
      <c r="D448" s="10" t="n"/>
      <c r="E448" s="9" t="n"/>
      <c r="F448" s="9" t="n"/>
      <c r="G448" s="9" t="n"/>
      <c r="H448" s="9" t="n"/>
    </row>
    <row r="449">
      <c r="A449" s="9" t="n"/>
      <c r="B449" s="9" t="n"/>
      <c r="C449" s="9" t="n"/>
      <c r="D449" s="10" t="n"/>
      <c r="E449" s="9" t="n"/>
      <c r="F449" s="9" t="n"/>
      <c r="G449" s="9" t="n"/>
      <c r="H449" s="9" t="n"/>
    </row>
    <row r="450">
      <c r="A450" s="9" t="n"/>
      <c r="B450" s="9" t="n"/>
      <c r="C450" s="9" t="n"/>
      <c r="D450" s="10" t="n"/>
      <c r="E450" s="9" t="n"/>
      <c r="F450" s="9" t="n"/>
      <c r="G450" s="9" t="n"/>
      <c r="H450" s="9" t="n"/>
    </row>
    <row r="451">
      <c r="A451" s="9" t="n"/>
      <c r="B451" s="9" t="n"/>
      <c r="C451" s="9" t="n"/>
      <c r="D451" s="10" t="n"/>
      <c r="E451" s="9" t="n"/>
      <c r="F451" s="9" t="n"/>
      <c r="G451" s="9" t="n"/>
      <c r="H451" s="9" t="n"/>
    </row>
    <row r="452">
      <c r="A452" s="9" t="n"/>
      <c r="B452" s="9" t="n"/>
      <c r="C452" s="9" t="n"/>
      <c r="D452" s="10" t="n"/>
      <c r="E452" s="9" t="n"/>
      <c r="F452" s="9" t="n"/>
      <c r="G452" s="9" t="n"/>
      <c r="H452" s="9" t="n"/>
    </row>
    <row r="453">
      <c r="A453" s="9" t="n"/>
      <c r="B453" s="9" t="n"/>
      <c r="C453" s="9" t="n"/>
      <c r="D453" s="10" t="n"/>
      <c r="E453" s="9" t="n"/>
      <c r="F453" s="9" t="n"/>
      <c r="G453" s="9" t="n"/>
      <c r="H453" s="9" t="n"/>
    </row>
    <row r="454">
      <c r="A454" s="9" t="n"/>
      <c r="B454" s="9" t="n"/>
      <c r="C454" s="9" t="n"/>
      <c r="D454" s="10" t="n"/>
      <c r="E454" s="9" t="n"/>
      <c r="F454" s="9" t="n"/>
      <c r="G454" s="9" t="n"/>
      <c r="H454" s="9" t="n"/>
    </row>
    <row r="455">
      <c r="A455" s="9" t="n"/>
      <c r="B455" s="9" t="n"/>
      <c r="C455" s="9" t="n"/>
      <c r="D455" s="10" t="n"/>
      <c r="E455" s="9" t="n"/>
      <c r="F455" s="9" t="n"/>
      <c r="G455" s="9" t="n"/>
      <c r="H455" s="9" t="n"/>
    </row>
    <row r="456">
      <c r="A456" s="9" t="n"/>
      <c r="B456" s="9" t="n"/>
      <c r="C456" s="9" t="n"/>
      <c r="D456" s="10" t="n"/>
      <c r="E456" s="9" t="n"/>
      <c r="F456" s="9" t="n"/>
      <c r="G456" s="9" t="n"/>
      <c r="H456" s="9" t="n"/>
    </row>
    <row r="457">
      <c r="A457" s="9" t="n"/>
      <c r="B457" s="9" t="n"/>
      <c r="C457" s="9" t="n"/>
      <c r="D457" s="10" t="n"/>
      <c r="E457" s="9" t="n"/>
      <c r="F457" s="9" t="n"/>
      <c r="G457" s="9" t="n"/>
      <c r="H457" s="9" t="n"/>
    </row>
    <row r="458">
      <c r="A458" s="9" t="n"/>
      <c r="B458" s="9" t="n"/>
      <c r="C458" s="9" t="n"/>
      <c r="D458" s="10" t="n"/>
      <c r="E458" s="9" t="n"/>
      <c r="F458" s="9" t="n"/>
      <c r="G458" s="9" t="n"/>
      <c r="H458" s="9" t="n"/>
    </row>
    <row r="459">
      <c r="A459" s="9" t="n"/>
      <c r="B459" s="9" t="n"/>
      <c r="C459" s="9" t="n"/>
      <c r="D459" s="10" t="n"/>
      <c r="E459" s="9" t="n"/>
      <c r="F459" s="9" t="n"/>
      <c r="G459" s="9" t="n"/>
      <c r="H459" s="9" t="n"/>
    </row>
    <row r="460">
      <c r="A460" s="9" t="n"/>
      <c r="B460" s="9" t="n"/>
      <c r="C460" s="9" t="n"/>
      <c r="D460" s="10" t="n"/>
      <c r="E460" s="9" t="n"/>
      <c r="F460" s="9" t="n"/>
      <c r="G460" s="9" t="n"/>
      <c r="H460" s="9" t="n"/>
    </row>
    <row r="461">
      <c r="A461" s="9" t="n"/>
      <c r="B461" s="9" t="n"/>
      <c r="C461" s="9" t="n"/>
      <c r="D461" s="10" t="n"/>
      <c r="E461" s="9" t="n"/>
      <c r="F461" s="9" t="n"/>
      <c r="G461" s="9" t="n"/>
      <c r="H461" s="9" t="n"/>
    </row>
    <row r="462">
      <c r="A462" s="9" t="n"/>
      <c r="B462" s="9" t="n"/>
      <c r="C462" s="9" t="n"/>
      <c r="D462" s="10" t="n"/>
      <c r="E462" s="9" t="n"/>
      <c r="F462" s="9" t="n"/>
      <c r="G462" s="9" t="n"/>
      <c r="H462" s="9" t="n"/>
    </row>
    <row r="463">
      <c r="A463" s="9" t="n"/>
      <c r="B463" s="9" t="n"/>
      <c r="C463" s="9" t="n"/>
      <c r="D463" s="10" t="n"/>
      <c r="E463" s="9" t="n"/>
      <c r="F463" s="9" t="n"/>
      <c r="G463" s="9" t="n"/>
      <c r="H463" s="9" t="n"/>
    </row>
    <row r="464">
      <c r="A464" s="9" t="n"/>
      <c r="B464" s="9" t="n"/>
      <c r="C464" s="9" t="n"/>
      <c r="D464" s="10" t="n"/>
      <c r="E464" s="9" t="n"/>
      <c r="F464" s="9" t="n"/>
      <c r="G464" s="9" t="n"/>
      <c r="H464" s="9" t="n"/>
    </row>
    <row r="465">
      <c r="A465" s="9" t="n"/>
      <c r="B465" s="9" t="n"/>
      <c r="C465" s="9" t="n"/>
      <c r="D465" s="10" t="n"/>
      <c r="E465" s="9" t="n"/>
      <c r="F465" s="9" t="n"/>
      <c r="G465" s="9" t="n"/>
      <c r="H465" s="9" t="n"/>
    </row>
    <row r="466">
      <c r="A466" s="9" t="n"/>
      <c r="B466" s="9" t="n"/>
      <c r="C466" s="9" t="n"/>
      <c r="D466" s="10" t="n"/>
      <c r="E466" s="9" t="n"/>
      <c r="F466" s="9" t="n"/>
      <c r="G466" s="9" t="n"/>
      <c r="H466" s="9" t="n"/>
    </row>
    <row r="467">
      <c r="A467" s="9" t="n"/>
      <c r="B467" s="9" t="n"/>
      <c r="C467" s="9" t="n"/>
      <c r="D467" s="10" t="n"/>
      <c r="E467" s="9" t="n"/>
      <c r="F467" s="9" t="n"/>
      <c r="G467" s="9" t="n"/>
      <c r="H467" s="9" t="n"/>
    </row>
    <row r="468">
      <c r="A468" s="9" t="n"/>
      <c r="B468" s="9" t="n"/>
      <c r="C468" s="9" t="n"/>
      <c r="D468" s="10" t="n"/>
      <c r="E468" s="9" t="n"/>
      <c r="F468" s="9" t="n"/>
      <c r="G468" s="9" t="n"/>
      <c r="H468" s="9" t="n"/>
    </row>
    <row r="469">
      <c r="A469" s="9" t="n"/>
      <c r="B469" s="9" t="n"/>
      <c r="C469" s="9" t="n"/>
      <c r="D469" s="10" t="n"/>
      <c r="E469" s="9" t="n"/>
      <c r="F469" s="9" t="n"/>
      <c r="G469" s="9" t="n"/>
      <c r="H469" s="9" t="n"/>
    </row>
    <row r="470">
      <c r="A470" s="9" t="n"/>
      <c r="B470" s="9" t="n"/>
      <c r="C470" s="9" t="n"/>
      <c r="D470" s="10" t="n"/>
      <c r="E470" s="9" t="n"/>
      <c r="F470" s="9" t="n"/>
      <c r="G470" s="9" t="n"/>
      <c r="H470" s="9" t="n"/>
    </row>
    <row r="471">
      <c r="A471" s="9" t="n"/>
      <c r="B471" s="9" t="n"/>
      <c r="C471" s="9" t="n"/>
      <c r="D471" s="10" t="n"/>
      <c r="E471" s="9" t="n"/>
      <c r="F471" s="9" t="n"/>
      <c r="G471" s="9" t="n"/>
      <c r="H471" s="9" t="n"/>
    </row>
    <row r="472">
      <c r="A472" s="9" t="n"/>
      <c r="B472" s="9" t="n"/>
      <c r="C472" s="9" t="n"/>
      <c r="D472" s="10" t="n"/>
      <c r="E472" s="9" t="n"/>
      <c r="F472" s="9" t="n"/>
      <c r="G472" s="9" t="n"/>
      <c r="H472" s="9" t="n"/>
    </row>
    <row r="473">
      <c r="A473" s="9" t="n"/>
      <c r="B473" s="9" t="n"/>
      <c r="C473" s="9" t="n"/>
      <c r="D473" s="10" t="n"/>
      <c r="E473" s="9" t="n"/>
      <c r="F473" s="9" t="n"/>
      <c r="G473" s="9" t="n"/>
      <c r="H473" s="9" t="n"/>
    </row>
    <row r="474">
      <c r="A474" s="9" t="n"/>
      <c r="B474" s="9" t="n"/>
      <c r="C474" s="9" t="n"/>
      <c r="D474" s="10" t="n"/>
      <c r="E474" s="9" t="n"/>
      <c r="F474" s="9" t="n"/>
      <c r="G474" s="9" t="n"/>
      <c r="H474" s="9" t="n"/>
    </row>
    <row r="475">
      <c r="A475" s="9" t="n"/>
      <c r="B475" s="9" t="n"/>
      <c r="C475" s="9" t="n"/>
      <c r="D475" s="10" t="n"/>
      <c r="E475" s="9" t="n"/>
      <c r="F475" s="9" t="n"/>
      <c r="G475" s="9" t="n"/>
      <c r="H475" s="9" t="n"/>
    </row>
    <row r="476">
      <c r="A476" s="9" t="n"/>
      <c r="B476" s="9" t="n"/>
      <c r="C476" s="9" t="n"/>
      <c r="D476" s="10" t="n"/>
      <c r="E476" s="9" t="n"/>
      <c r="F476" s="9" t="n"/>
      <c r="G476" s="9" t="n"/>
      <c r="H476" s="9" t="n"/>
    </row>
    <row r="477">
      <c r="A477" s="9" t="n"/>
      <c r="B477" s="9" t="n"/>
      <c r="C477" s="9" t="n"/>
      <c r="D477" s="10" t="n"/>
      <c r="E477" s="9" t="n"/>
      <c r="F477" s="9" t="n"/>
      <c r="G477" s="9" t="n"/>
      <c r="H477" s="9" t="n"/>
    </row>
    <row r="478">
      <c r="A478" s="9" t="n"/>
      <c r="B478" s="9" t="n"/>
      <c r="C478" s="9" t="n"/>
      <c r="D478" s="10" t="n"/>
      <c r="E478" s="9" t="n"/>
      <c r="F478" s="9" t="n"/>
      <c r="G478" s="9" t="n"/>
      <c r="H478" s="9" t="n"/>
    </row>
    <row r="479">
      <c r="A479" s="9" t="n"/>
      <c r="B479" s="9" t="n"/>
      <c r="C479" s="9" t="n"/>
      <c r="D479" s="10" t="n"/>
      <c r="E479" s="9" t="n"/>
      <c r="F479" s="9" t="n"/>
      <c r="G479" s="9" t="n"/>
      <c r="H479" s="9" t="n"/>
    </row>
    <row r="480">
      <c r="A480" s="9" t="n"/>
      <c r="B480" s="9" t="n"/>
      <c r="C480" s="9" t="n"/>
      <c r="D480" s="10" t="n"/>
      <c r="E480" s="9" t="n"/>
      <c r="F480" s="9" t="n"/>
      <c r="G480" s="9" t="n"/>
      <c r="H480" s="9" t="n"/>
    </row>
    <row r="481">
      <c r="A481" s="9" t="n"/>
      <c r="B481" s="9" t="n"/>
      <c r="C481" s="9" t="n"/>
      <c r="D481" s="10" t="n"/>
      <c r="E481" s="9" t="n"/>
      <c r="F481" s="9" t="n"/>
      <c r="G481" s="9" t="n"/>
      <c r="H481" s="9" t="n"/>
    </row>
    <row r="482">
      <c r="A482" s="9" t="n"/>
      <c r="B482" s="9" t="n"/>
      <c r="C482" s="9" t="n"/>
      <c r="D482" s="10" t="n"/>
      <c r="E482" s="9" t="n"/>
      <c r="F482" s="9" t="n"/>
      <c r="G482" s="9" t="n"/>
      <c r="H482" s="9" t="n"/>
    </row>
    <row r="483">
      <c r="A483" s="9" t="n"/>
      <c r="B483" s="9" t="n"/>
      <c r="C483" s="9" t="n"/>
      <c r="D483" s="10" t="n"/>
      <c r="E483" s="9" t="n"/>
      <c r="F483" s="9" t="n"/>
      <c r="G483" s="9" t="n"/>
      <c r="H483" s="9" t="n"/>
    </row>
    <row r="484">
      <c r="A484" s="9" t="n"/>
      <c r="B484" s="9" t="n"/>
      <c r="C484" s="9" t="n"/>
      <c r="D484" s="10" t="n"/>
      <c r="E484" s="9" t="n"/>
      <c r="F484" s="9" t="n"/>
      <c r="G484" s="9" t="n"/>
      <c r="H484" s="9" t="n"/>
    </row>
    <row r="485">
      <c r="A485" s="9" t="n"/>
      <c r="B485" s="9" t="n"/>
      <c r="C485" s="9" t="n"/>
      <c r="D485" s="10" t="n"/>
      <c r="E485" s="9" t="n"/>
      <c r="F485" s="9" t="n"/>
      <c r="G485" s="9" t="n"/>
      <c r="H485" s="9" t="n"/>
    </row>
    <row r="486">
      <c r="A486" s="9" t="n"/>
      <c r="B486" s="9" t="n"/>
      <c r="C486" s="9" t="n"/>
      <c r="D486" s="10" t="n"/>
      <c r="E486" s="9" t="n"/>
      <c r="F486" s="9" t="n"/>
      <c r="G486" s="9" t="n"/>
      <c r="H486" s="9" t="n"/>
    </row>
    <row r="487">
      <c r="A487" s="9" t="n"/>
      <c r="B487" s="9" t="n"/>
      <c r="C487" s="9" t="n"/>
      <c r="D487" s="10" t="n"/>
      <c r="E487" s="9" t="n"/>
      <c r="F487" s="9" t="n"/>
      <c r="G487" s="9" t="n"/>
      <c r="H487" s="9" t="n"/>
    </row>
    <row r="488">
      <c r="A488" s="9" t="n"/>
      <c r="B488" s="9" t="n"/>
      <c r="C488" s="9" t="n"/>
      <c r="D488" s="10" t="n"/>
      <c r="E488" s="9" t="n"/>
      <c r="F488" s="9" t="n"/>
      <c r="G488" s="9" t="n"/>
      <c r="H488" s="9" t="n"/>
    </row>
    <row r="489">
      <c r="A489" s="9" t="n"/>
      <c r="B489" s="9" t="n"/>
      <c r="C489" s="9" t="n"/>
      <c r="D489" s="10" t="n"/>
      <c r="E489" s="9" t="n"/>
      <c r="F489" s="9" t="n"/>
      <c r="G489" s="9" t="n"/>
      <c r="H489" s="9" t="n"/>
    </row>
    <row r="490">
      <c r="A490" s="9" t="n"/>
      <c r="B490" s="9" t="n"/>
      <c r="C490" s="9" t="n"/>
      <c r="D490" s="10" t="n"/>
      <c r="E490" s="9" t="n"/>
      <c r="F490" s="9" t="n"/>
      <c r="G490" s="9" t="n"/>
      <c r="H490" s="9" t="n"/>
    </row>
    <row r="491">
      <c r="A491" s="9" t="n"/>
      <c r="B491" s="9" t="n"/>
      <c r="C491" s="9" t="n"/>
      <c r="D491" s="10" t="n"/>
      <c r="E491" s="9" t="n"/>
      <c r="F491" s="9" t="n"/>
      <c r="G491" s="9" t="n"/>
      <c r="H491" s="9" t="n"/>
    </row>
    <row r="492">
      <c r="A492" s="9" t="n"/>
      <c r="B492" s="9" t="n"/>
      <c r="C492" s="9" t="n"/>
      <c r="D492" s="10" t="n"/>
      <c r="E492" s="9" t="n"/>
      <c r="F492" s="9" t="n"/>
      <c r="G492" s="9" t="n"/>
      <c r="H492" s="9" t="n"/>
    </row>
    <row r="493">
      <c r="A493" s="9" t="n"/>
      <c r="B493" s="9" t="n"/>
      <c r="C493" s="9" t="n"/>
      <c r="D493" s="10" t="n"/>
      <c r="E493" s="9" t="n"/>
      <c r="F493" s="9" t="n"/>
      <c r="G493" s="9" t="n"/>
      <c r="H493" s="9" t="n"/>
    </row>
    <row r="494">
      <c r="A494" s="9" t="n"/>
      <c r="B494" s="9" t="n"/>
      <c r="C494" s="9" t="n"/>
      <c r="D494" s="10" t="n"/>
      <c r="E494" s="9" t="n"/>
      <c r="F494" s="9" t="n"/>
      <c r="G494" s="9" t="n"/>
      <c r="H494" s="9" t="n"/>
    </row>
    <row r="495">
      <c r="A495" s="9" t="n"/>
      <c r="B495" s="9" t="n"/>
      <c r="C495" s="9" t="n"/>
      <c r="D495" s="10" t="n"/>
      <c r="E495" s="9" t="n"/>
      <c r="F495" s="9" t="n"/>
      <c r="G495" s="9" t="n"/>
      <c r="H495" s="9" t="n"/>
    </row>
    <row r="496">
      <c r="A496" s="9" t="n"/>
      <c r="B496" s="9" t="n"/>
      <c r="C496" s="9" t="n"/>
      <c r="D496" s="10" t="n"/>
      <c r="E496" s="9" t="n"/>
      <c r="F496" s="9" t="n"/>
      <c r="G496" s="9" t="n"/>
      <c r="H496" s="9" t="n"/>
    </row>
    <row r="497">
      <c r="A497" s="9" t="n"/>
      <c r="B497" s="9" t="n"/>
      <c r="C497" s="9" t="n"/>
      <c r="D497" s="10" t="n"/>
      <c r="E497" s="9" t="n"/>
      <c r="F497" s="9" t="n"/>
      <c r="G497" s="9" t="n"/>
      <c r="H497" s="9" t="n"/>
    </row>
    <row r="498">
      <c r="A498" s="9" t="n"/>
      <c r="B498" s="9" t="n"/>
      <c r="C498" s="9" t="n"/>
      <c r="D498" s="10" t="n"/>
      <c r="E498" s="9" t="n"/>
      <c r="F498" s="9" t="n"/>
      <c r="G498" s="9" t="n"/>
      <c r="H498" s="9" t="n"/>
    </row>
  </sheetData>
  <mergeCells count="1">
    <mergeCell ref="A2:H2"/>
  </mergeCells>
  <conditionalFormatting sqref="C3:C498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H635"/>
  <sheetViews>
    <sheetView showGridLines="0" zoomScale="90" zoomScaleNormal="90" workbookViewId="0">
      <pane xSplit="1" ySplit="5" topLeftCell="B67" activePane="bottomRight" state="frozen"/>
      <selection pane="topRight" activeCell="B1" sqref="B1"/>
      <selection pane="bottomLeft" activeCell="A6" sqref="A6"/>
      <selection pane="bottomRight" activeCell="O38" sqref="O38"/>
    </sheetView>
  </sheetViews>
  <sheetFormatPr baseColWidth="8" defaultRowHeight="15" outlineLevelCol="0"/>
  <cols>
    <col width="2.42578125" customWidth="1" style="64" min="1" max="1"/>
    <col width="13.28515625" customWidth="1" style="64" min="2" max="2"/>
    <col width="38" bestFit="1" customWidth="1" style="64" min="3" max="3"/>
    <col width="18.85546875" bestFit="1" customWidth="1" style="64" min="4" max="4"/>
    <col width="16.140625" bestFit="1" customWidth="1" style="64" min="5" max="5"/>
    <col width="13.28515625" customWidth="1" style="65" min="6" max="6"/>
    <col width="19.7109375" bestFit="1" customWidth="1" style="64" min="7" max="7"/>
    <col width="13.28515625" customWidth="1" style="64" min="8" max="10"/>
    <col width="18.28515625" bestFit="1" customWidth="1" style="64" min="11" max="11"/>
    <col hidden="1" width="18.28515625" customWidth="1" style="64" min="12" max="12"/>
    <col width="14.7109375" customWidth="1" style="64" min="14" max="14"/>
    <col width="20.5703125" bestFit="1" customWidth="1" style="64" min="15" max="15"/>
    <col width="14" bestFit="1" customWidth="1" style="64" min="16" max="16"/>
    <col width="15.28515625" customWidth="1" style="64" min="17" max="17"/>
    <col width="10.42578125" customWidth="1" style="64" min="18" max="18"/>
    <col width="12.28515625" customWidth="1" style="64" min="19" max="19"/>
    <col width="12.85546875" customWidth="1" style="64" min="20" max="20"/>
    <col width="11.42578125" customWidth="1" style="64" min="21" max="21"/>
    <col width="14.42578125" bestFit="1" customWidth="1" style="64" min="22" max="22"/>
    <col width="19.7109375" bestFit="1" customWidth="1" style="64" min="23" max="23"/>
    <col width="19.7109375" customWidth="1" style="71" min="24" max="24"/>
    <col width="32.28515625" bestFit="1" customWidth="1" style="64" min="26" max="26"/>
    <col width="15.140625" customWidth="1" style="64" min="27" max="28"/>
    <col width="8" bestFit="1" customWidth="1" style="73" min="29" max="29"/>
    <col hidden="1" width="4.5703125" customWidth="1" style="74" min="30" max="30"/>
    <col hidden="1" width="7" customWidth="1" style="74" min="31" max="31"/>
    <col width="5.5703125" customWidth="1" style="64" min="32" max="32"/>
    <col width="16.140625" bestFit="1" customWidth="1" style="69" min="33" max="33"/>
    <col hidden="1" width="12" customWidth="1" style="64" min="34" max="34"/>
  </cols>
  <sheetData>
    <row r="1"/>
    <row r="2" ht="31.5" customHeight="1" s="64">
      <c r="B2" s="66" t="inlineStr">
        <is>
          <t>Inventory Management Sheet</t>
        </is>
      </c>
      <c r="Y2" s="34" t="n"/>
      <c r="Z2" s="66" t="inlineStr">
        <is>
          <t>ESKORT ESTCOURT</t>
        </is>
      </c>
      <c r="AH2" s="30" t="n"/>
    </row>
    <row r="3"/>
    <row r="4" ht="21" customHeight="1" s="64">
      <c r="B4" s="63" t="inlineStr">
        <is>
          <t>Stock-In</t>
        </is>
      </c>
      <c r="L4" s="63" t="n"/>
      <c r="N4" s="72" t="inlineStr">
        <is>
          <t>Stock-Out</t>
        </is>
      </c>
      <c r="W4" s="72" t="n"/>
      <c r="X4" s="45" t="n"/>
      <c r="Z4" s="70" t="inlineStr">
        <is>
          <t>Stock On Hand</t>
        </is>
      </c>
      <c r="AD4" s="70" t="n"/>
      <c r="AE4" s="70" t="n"/>
      <c r="AG4" s="21" t="inlineStr">
        <is>
          <t>ALERTS</t>
        </is>
      </c>
      <c r="AH4" s="31" t="inlineStr">
        <is>
          <t>Min</t>
        </is>
      </c>
    </row>
    <row r="5" ht="15" customFormat="1" customHeight="1" s="69">
      <c r="B5" s="42" t="inlineStr">
        <is>
          <t>Date</t>
        </is>
      </c>
      <c r="C5" s="42" t="inlineStr">
        <is>
          <t>Product</t>
        </is>
      </c>
      <c r="D5" s="42" t="inlineStr">
        <is>
          <t>Serial Num</t>
        </is>
      </c>
      <c r="E5" s="42" t="inlineStr">
        <is>
          <t>Make &amp; Model</t>
        </is>
      </c>
      <c r="F5" s="42" t="inlineStr">
        <is>
          <t>Quantity</t>
        </is>
      </c>
      <c r="G5" s="42" t="inlineStr">
        <is>
          <t>Asset / Inv Num</t>
        </is>
      </c>
      <c r="H5" s="42" t="inlineStr">
        <is>
          <t>Capex Num</t>
        </is>
      </c>
      <c r="I5" s="42" t="inlineStr">
        <is>
          <t>Price excl</t>
        </is>
      </c>
      <c r="J5" s="42" t="inlineStr">
        <is>
          <t>Department</t>
        </is>
      </c>
      <c r="K5" s="42" t="inlineStr">
        <is>
          <t>PC Name</t>
        </is>
      </c>
      <c r="L5" s="42" t="inlineStr">
        <is>
          <t>Stock</t>
        </is>
      </c>
      <c r="N5" s="47" t="inlineStr">
        <is>
          <t>Date</t>
        </is>
      </c>
      <c r="O5" s="47" t="inlineStr">
        <is>
          <t>Product</t>
        </is>
      </c>
      <c r="P5" s="47" t="inlineStr">
        <is>
          <t>Serial Num</t>
        </is>
      </c>
      <c r="Q5" s="47" t="inlineStr">
        <is>
          <t>Make &amp; Model</t>
        </is>
      </c>
      <c r="R5" s="47" t="inlineStr">
        <is>
          <t>Quantity</t>
        </is>
      </c>
      <c r="S5" s="47" t="inlineStr">
        <is>
          <t>Asset / Inv Num</t>
        </is>
      </c>
      <c r="T5" s="47" t="inlineStr">
        <is>
          <t>Capex Num</t>
        </is>
      </c>
      <c r="U5" s="47" t="inlineStr">
        <is>
          <t>Price excl</t>
        </is>
      </c>
      <c r="V5" s="47" t="inlineStr">
        <is>
          <t>Department</t>
        </is>
      </c>
      <c r="W5" s="47" t="inlineStr">
        <is>
          <t>PC Name</t>
        </is>
      </c>
      <c r="X5" s="48" t="inlineStr">
        <is>
          <t>Stock</t>
        </is>
      </c>
      <c r="Z5" s="4" t="inlineStr">
        <is>
          <t>Product</t>
        </is>
      </c>
      <c r="AA5" s="4" t="inlineStr">
        <is>
          <t>Quantity In</t>
        </is>
      </c>
      <c r="AB5" s="4" t="inlineStr">
        <is>
          <t>Quantity Out</t>
        </is>
      </c>
      <c r="AC5" s="75" t="inlineStr">
        <is>
          <t>Balance</t>
        </is>
      </c>
      <c r="AD5" s="76" t="inlineStr">
        <is>
          <t>Low</t>
        </is>
      </c>
      <c r="AE5" s="76" t="inlineStr">
        <is>
          <t>Critcal</t>
        </is>
      </c>
      <c r="AG5" s="22" t="inlineStr">
        <is>
          <t>Low / Critical</t>
        </is>
      </c>
      <c r="AH5" s="22" t="inlineStr">
        <is>
          <t>Levels</t>
        </is>
      </c>
    </row>
    <row r="6" ht="15" customHeight="1" s="64">
      <c r="B6" s="8" t="n">
        <v>46081</v>
      </c>
      <c r="C6" s="9" t="inlineStr">
        <is>
          <t>NumPads</t>
        </is>
      </c>
      <c r="D6" s="12" t="n"/>
      <c r="E6" s="9" t="n"/>
      <c r="F6" s="10" t="n">
        <v>1</v>
      </c>
      <c r="G6" s="9" t="n"/>
      <c r="H6" s="9" t="n"/>
      <c r="I6" s="77" t="n"/>
      <c r="J6" s="9" t="inlineStr">
        <is>
          <t>IT</t>
        </is>
      </c>
      <c r="K6" s="9" t="n"/>
      <c r="L6" s="43">
        <f>IF(Table2[[#This Row],[Date]]&lt;&gt;0,"Stock In"," ")</f>
        <v/>
      </c>
      <c r="N6" s="39" t="n">
        <v>46079</v>
      </c>
      <c r="O6" s="40" t="inlineStr">
        <is>
          <t>Label Printers</t>
        </is>
      </c>
      <c r="P6" s="40" t="inlineStr">
        <is>
          <t>29J220201531</t>
        </is>
      </c>
      <c r="Q6" s="5">
        <f>_xlfn.IFNA(VLOOKUP(P6,$D$5:$I$99576,2,0),"")</f>
        <v/>
      </c>
      <c r="R6" s="78" t="n">
        <v>1</v>
      </c>
      <c r="S6" s="79">
        <f>_xlfn.IFNA(VLOOKUP($P6,$D$5:$I$999576,4,0)," ")</f>
        <v/>
      </c>
      <c r="T6" s="79">
        <f>_xlfn.IFNA(VLOOKUP($P6,$D$5:$I$999576,5,0)," ")</f>
        <v/>
      </c>
      <c r="U6" s="80">
        <f>_xlfn.IFNA(VLOOKUP($P6,$D$5:$I$999576,6,0)," ")</f>
        <v/>
      </c>
      <c r="V6" s="40" t="inlineStr">
        <is>
          <t>Bacon</t>
        </is>
      </c>
      <c r="W6" s="44" t="inlineStr">
        <is>
          <t>ESTBaconIn</t>
        </is>
      </c>
      <c r="X6" s="44">
        <f>IF(N6&gt;0,"Stock Out"," ")</f>
        <v/>
      </c>
      <c r="Z6" s="6" t="inlineStr">
        <is>
          <t>Access Points</t>
        </is>
      </c>
      <c r="AA6" s="7">
        <f>SUMIF($C$6:$C$99571,Z6,$F$6:$F$99571)</f>
        <v/>
      </c>
      <c r="AB6" s="7">
        <f>SUMIF($O$6:$O$99505,Z6,$R$6:$R$99505)</f>
        <v/>
      </c>
      <c r="AC6" s="81">
        <f>AA6-AB6</f>
        <v/>
      </c>
      <c r="AD6" s="17">
        <f>VLOOKUP(Z6,Table1[[#All],[Product Name]:[Critical Levels]],5,0)</f>
        <v/>
      </c>
      <c r="AE6" s="17">
        <f>VLOOKUP(Z6,Table1[[#All],[Product Name]:[Critical Levels]],6,0)</f>
        <v/>
      </c>
      <c r="AG6" s="23">
        <f>IF(AC6&lt;=AE6, "Critical", IF(AC6&lt;=AD6, "Low", " "))</f>
        <v/>
      </c>
      <c r="AH6" s="23">
        <f>AD6</f>
        <v/>
      </c>
    </row>
    <row r="7" ht="15" customHeight="1" s="64">
      <c r="B7" s="8" t="n">
        <v>46081</v>
      </c>
      <c r="C7" s="9" t="inlineStr">
        <is>
          <t>Wired Keyboards</t>
        </is>
      </c>
      <c r="D7" s="12" t="n"/>
      <c r="E7" s="9" t="n"/>
      <c r="F7" s="10">
        <f>14-8</f>
        <v/>
      </c>
      <c r="G7" s="9" t="n"/>
      <c r="H7" s="9" t="n"/>
      <c r="I7" s="77" t="n"/>
      <c r="J7" s="9" t="inlineStr">
        <is>
          <t>IT</t>
        </is>
      </c>
      <c r="K7" s="9" t="n"/>
      <c r="L7" s="43">
        <f>IF(Table2[[#This Row],[Date]]&lt;&gt;0,"Stock In"," ")</f>
        <v/>
      </c>
      <c r="N7" s="50" t="n">
        <v>46081</v>
      </c>
      <c r="O7" s="51" t="inlineStr">
        <is>
          <t>Label Printers</t>
        </is>
      </c>
      <c r="P7" s="51" t="inlineStr">
        <is>
          <t>29J220201531</t>
        </is>
      </c>
      <c r="Q7" s="51">
        <f>_xlfn.IFNA(VLOOKUP(P7,$D$5:$I$99576,2,0),"")</f>
        <v/>
      </c>
      <c r="R7" s="82" t="n">
        <v>1</v>
      </c>
      <c r="S7" s="82">
        <f>_xlfn.IFNA(VLOOKUP($P7,$D$5:$I$999576,4,0)," ")</f>
        <v/>
      </c>
      <c r="T7" s="82">
        <f>_xlfn.IFNA(VLOOKUP($P7,$D$5:$I$999576,5,0)," ")</f>
        <v/>
      </c>
      <c r="U7" s="83">
        <f>_xlfn.IFNA(VLOOKUP($P7,$D$5:$I$999576,6,0)," ")</f>
        <v/>
      </c>
      <c r="V7" s="51" t="inlineStr">
        <is>
          <t>Dispatch</t>
        </is>
      </c>
      <c r="W7" s="53" t="inlineStr">
        <is>
          <t>ESTDispatch1</t>
        </is>
      </c>
      <c r="X7" s="53">
        <f>IF(N7&gt;0,"Stock Out"," ")</f>
        <v/>
      </c>
      <c r="Z7" s="6" t="inlineStr">
        <is>
          <t>Android Scanners</t>
        </is>
      </c>
      <c r="AA7" s="7">
        <f>SUMIF($C$6:$C$99571,Z7,$F$6:$F$99571)</f>
        <v/>
      </c>
      <c r="AB7" s="7">
        <f>SUMIF($O$6:$O$99505,Z7,$R$6:$R$99505)</f>
        <v/>
      </c>
      <c r="AC7" s="81">
        <f>AA7-AB7</f>
        <v/>
      </c>
      <c r="AD7" s="17">
        <f>VLOOKUP(Z7,Table1[[#All],[Product Name]:[Critical Levels]],5,0)</f>
        <v/>
      </c>
      <c r="AE7" s="17">
        <f>VLOOKUP(Z7,Table1[[#All],[Product Name]:[Critical Levels]],6,0)</f>
        <v/>
      </c>
      <c r="AG7" s="23">
        <f>IF(AC7&lt;=AE7, "Critical", IF(AC7&lt;=AD7, "Low", " "))</f>
        <v/>
      </c>
      <c r="AH7" s="23">
        <f>AD7</f>
        <v/>
      </c>
    </row>
    <row r="8" ht="15" customHeight="1" s="64">
      <c r="B8" s="8" t="n">
        <v>46081</v>
      </c>
      <c r="C8" s="9" t="inlineStr">
        <is>
          <t>Wired Mouse</t>
        </is>
      </c>
      <c r="D8" s="12" t="n"/>
      <c r="E8" s="9" t="n"/>
      <c r="F8" s="10" t="n">
        <v>3</v>
      </c>
      <c r="G8" s="9" t="n"/>
      <c r="H8" s="9" t="n"/>
      <c r="I8" s="77" t="n"/>
      <c r="J8" s="9" t="inlineStr">
        <is>
          <t>IT</t>
        </is>
      </c>
      <c r="K8" s="9" t="n"/>
      <c r="L8" s="43">
        <f>IF(Table2[[#This Row],[Date]]&lt;&gt;0,"Stock In"," ")</f>
        <v/>
      </c>
      <c r="N8" s="50" t="n">
        <v>46082</v>
      </c>
      <c r="O8" s="40" t="inlineStr">
        <is>
          <t>Phones - Voip</t>
        </is>
      </c>
      <c r="P8" s="40" t="n"/>
      <c r="Q8" s="51">
        <f>_xlfn.IFNA(VLOOKUP(P8,$D$5:$I$99576,2,0),"")</f>
        <v/>
      </c>
      <c r="R8" s="78" t="n">
        <v>8</v>
      </c>
      <c r="S8" s="82">
        <f>_xlfn.IFNA(VLOOKUP($P8,$D$5:$I$999576,4,0)," ")</f>
        <v/>
      </c>
      <c r="T8" s="82">
        <f>_xlfn.IFNA(VLOOKUP($P8,$D$5:$I$999576,5,0)," ")</f>
        <v/>
      </c>
      <c r="U8" s="83">
        <f>_xlfn.IFNA(VLOOKUP($P8,$D$5:$I$999576,6,0)," ")</f>
        <v/>
      </c>
      <c r="V8" s="40" t="n"/>
      <c r="W8" s="84">
        <f>_xlfn.IFNA(VLOOKUP($P8,$D$5:$K$999576,8,0)," ")</f>
        <v/>
      </c>
      <c r="X8" s="53">
        <f>IF(N8&gt;0,"Stock Out"," ")</f>
        <v/>
      </c>
      <c r="Z8" s="6" t="inlineStr">
        <is>
          <t>Argox Printers ix4-250</t>
        </is>
      </c>
      <c r="AA8" s="7">
        <f>SUMIF($C$6:$C$99571,Z8,$F$6:$F$99571)</f>
        <v/>
      </c>
      <c r="AB8" s="7">
        <f>SUMIF($O$6:$O$99505,Z8,$R$6:$R$99505)</f>
        <v/>
      </c>
      <c r="AC8" s="81">
        <f>AA8-AB8</f>
        <v/>
      </c>
      <c r="AD8" s="17">
        <f>VLOOKUP(Z8,Table1[[#All],[Product Name]:[Critical Levels]],5,0)</f>
        <v/>
      </c>
      <c r="AE8" s="17">
        <f>VLOOKUP(Z8,Table1[[#All],[Product Name]:[Critical Levels]],6,0)</f>
        <v/>
      </c>
      <c r="AG8" s="23">
        <f>IF(AC8&lt;=AE8, "Critical", IF(AC8&lt;=AD8, "Low", " "))</f>
        <v/>
      </c>
      <c r="AH8" s="23">
        <f>AD8</f>
        <v/>
      </c>
    </row>
    <row r="9" ht="15" customHeight="1" s="64">
      <c r="B9" s="8" t="n">
        <v>46081</v>
      </c>
      <c r="C9" s="9" t="inlineStr">
        <is>
          <t>Wired Keyboards &amp; Mouse Combos</t>
        </is>
      </c>
      <c r="D9" s="12" t="n"/>
      <c r="E9" s="9" t="n"/>
      <c r="F9" s="10" t="n">
        <v>10</v>
      </c>
      <c r="G9" s="9" t="n"/>
      <c r="H9" s="9" t="n"/>
      <c r="I9" s="77" t="n"/>
      <c r="J9" s="9" t="inlineStr">
        <is>
          <t>IT</t>
        </is>
      </c>
      <c r="K9" s="9" t="n"/>
      <c r="L9" s="43">
        <f>IF(Table2[[#This Row],[Date]]&lt;&gt;0,"Stock In"," ")</f>
        <v/>
      </c>
      <c r="Z9" s="6" t="inlineStr">
        <is>
          <t>Argox Printers ix4-250 Printheads</t>
        </is>
      </c>
      <c r="AA9" s="7">
        <f>SUMIF($C$6:$C$99571,Z9,$F$6:$F$99571)</f>
        <v/>
      </c>
      <c r="AB9" s="7">
        <f>SUMIF($O$6:$O$99505,Z9,$R$6:$R$99505)</f>
        <v/>
      </c>
      <c r="AC9" s="81">
        <f>AA9-AB9</f>
        <v/>
      </c>
      <c r="AD9" s="17">
        <f>VLOOKUP(Z9,Table1[[#All],[Product Name]:[Critical Levels]],5,0)</f>
        <v/>
      </c>
      <c r="AE9" s="17">
        <f>VLOOKUP(Z9,Table1[[#All],[Product Name]:[Critical Levels]],6,0)</f>
        <v/>
      </c>
      <c r="AG9" s="23">
        <f>IF(AC9&lt;=AE9, "Critical", IF(AC9&lt;=AD9, "Low", " "))</f>
        <v/>
      </c>
      <c r="AH9" s="23">
        <f>AD9</f>
        <v/>
      </c>
    </row>
    <row r="10" ht="15" customHeight="1" s="64">
      <c r="B10" s="8" t="n">
        <v>46081</v>
      </c>
      <c r="C10" s="9" t="inlineStr">
        <is>
          <t>Phones - Voip</t>
        </is>
      </c>
      <c r="D10" s="12" t="inlineStr">
        <is>
          <t>23WZ370002H0</t>
        </is>
      </c>
      <c r="E10" s="9" t="inlineStr">
        <is>
          <t>Avaya</t>
        </is>
      </c>
      <c r="F10" s="10" t="n">
        <v>1</v>
      </c>
      <c r="G10" s="9" t="n"/>
      <c r="H10" s="9" t="n"/>
      <c r="I10" s="77" t="n"/>
      <c r="J10" s="9" t="inlineStr">
        <is>
          <t>IT</t>
        </is>
      </c>
      <c r="K10" s="9" t="n"/>
      <c r="L10" s="43">
        <f>IF(Table2[[#This Row],[Date]]&lt;&gt;0,"Stock In"," ")</f>
        <v/>
      </c>
      <c r="Z10" s="6" t="inlineStr">
        <is>
          <t>Biometrics - EARB</t>
        </is>
      </c>
      <c r="AA10" s="7">
        <f>SUMIF($C$6:$C$99571,Z10,$F$6:$F$99571)</f>
        <v/>
      </c>
      <c r="AB10" s="7">
        <f>SUMIF($O$6:$O$99505,Z10,$R$6:$R$99505)</f>
        <v/>
      </c>
      <c r="AC10" s="81">
        <f>AA10-AB10</f>
        <v/>
      </c>
      <c r="AD10" s="17">
        <f>VLOOKUP(Z10,Table1[[#All],[Product Name]:[Critical Levels]],5,0)</f>
        <v/>
      </c>
      <c r="AE10" s="17">
        <f>VLOOKUP(Z10,Table1[[#All],[Product Name]:[Critical Levels]],6,0)</f>
        <v/>
      </c>
      <c r="AG10" s="23" t="n"/>
      <c r="AH10" s="23">
        <f>AD10</f>
        <v/>
      </c>
    </row>
    <row r="11" ht="15" customHeight="1" s="64">
      <c r="B11" s="8" t="n">
        <v>46081</v>
      </c>
      <c r="C11" s="9" t="inlineStr">
        <is>
          <t>Phones - Voip</t>
        </is>
      </c>
      <c r="D11" s="12" t="inlineStr">
        <is>
          <t>23W236400120</t>
        </is>
      </c>
      <c r="E11" s="9" t="inlineStr">
        <is>
          <t>Avaya</t>
        </is>
      </c>
      <c r="F11" s="10" t="n">
        <v>1</v>
      </c>
      <c r="G11" s="9" t="n"/>
      <c r="H11" s="9" t="n"/>
      <c r="I11" s="77" t="n"/>
      <c r="J11" s="9" t="inlineStr">
        <is>
          <t>IT</t>
        </is>
      </c>
      <c r="K11" s="9" t="n"/>
      <c r="L11" s="43">
        <f>IF(Table2[[#This Row],[Date]]&lt;&gt;0,"Stock In"," ")</f>
        <v/>
      </c>
      <c r="Z11" s="6" t="inlineStr">
        <is>
          <t>Biometrics - VisionPass</t>
        </is>
      </c>
      <c r="AA11" s="7">
        <f>SUMIF($C$6:$C$99571,Z11,$F$6:$F$99571)</f>
        <v/>
      </c>
      <c r="AB11" s="7">
        <f>SUMIF($O$6:$O$99505,Z11,$R$6:$R$99505)</f>
        <v/>
      </c>
      <c r="AC11" s="81">
        <f>AA11-AB11</f>
        <v/>
      </c>
      <c r="AD11" s="17">
        <f>VLOOKUP(Z11,Table1[[#All],[Product Name]:[Critical Levels]],5,0)</f>
        <v/>
      </c>
      <c r="AE11" s="17">
        <f>VLOOKUP(Z11,Table1[[#All],[Product Name]:[Critical Levels]],6,0)</f>
        <v/>
      </c>
      <c r="AG11" s="23" t="n"/>
      <c r="AH11" s="23">
        <f>AD11</f>
        <v/>
      </c>
    </row>
    <row r="12" ht="15" customHeight="1" s="64">
      <c r="B12" s="8" t="n">
        <v>46081</v>
      </c>
      <c r="C12" s="9" t="inlineStr">
        <is>
          <t>Phones - Voip</t>
        </is>
      </c>
      <c r="D12" s="12" t="inlineStr">
        <is>
          <t>23WZ364000PC</t>
        </is>
      </c>
      <c r="E12" s="9" t="inlineStr">
        <is>
          <t>Avaya</t>
        </is>
      </c>
      <c r="F12" s="10" t="n">
        <v>1</v>
      </c>
      <c r="G12" s="9" t="n"/>
      <c r="H12" s="9" t="n"/>
      <c r="I12" s="77" t="n"/>
      <c r="J12" s="9" t="inlineStr">
        <is>
          <t>IT</t>
        </is>
      </c>
      <c r="K12" s="9" t="n"/>
      <c r="L12" s="43">
        <f>IF(Table2[[#This Row],[Date]]&lt;&gt;0,"Stock In"," ")</f>
        <v/>
      </c>
      <c r="Z12" s="6" t="inlineStr">
        <is>
          <t>Desktops</t>
        </is>
      </c>
      <c r="AA12" s="7">
        <f>SUMIF($C$6:$C$99571,Z12,$F$6:$F$99571)</f>
        <v/>
      </c>
      <c r="AB12" s="7">
        <f>SUMIF($O$6:$O$99505,Z12,$R$6:$R$99505)</f>
        <v/>
      </c>
      <c r="AC12" s="81">
        <f>AA12-AB12</f>
        <v/>
      </c>
      <c r="AD12" s="17">
        <f>VLOOKUP(Z12,Table1[[#All],[Product Name]:[Critical Levels]],5,0)</f>
        <v/>
      </c>
      <c r="AE12" s="17">
        <f>VLOOKUP(Z12,Table1[[#All],[Product Name]:[Critical Levels]],6,0)</f>
        <v/>
      </c>
      <c r="AG12" s="23">
        <f>IF(AC12&lt;=AE12, "Critical", IF(AC12&lt;=AD12, "Low", " "))</f>
        <v/>
      </c>
      <c r="AH12" s="23">
        <f>AD12</f>
        <v/>
      </c>
    </row>
    <row r="13" ht="15" customHeight="1" s="64">
      <c r="B13" s="8" t="n">
        <v>46081</v>
      </c>
      <c r="C13" s="9" t="inlineStr">
        <is>
          <t>Phones - Voip</t>
        </is>
      </c>
      <c r="D13" s="12" t="inlineStr">
        <is>
          <t>23WZ364000P9</t>
        </is>
      </c>
      <c r="E13" s="9" t="inlineStr">
        <is>
          <t>Avaya</t>
        </is>
      </c>
      <c r="F13" s="10" t="n">
        <v>1</v>
      </c>
      <c r="G13" s="9" t="n"/>
      <c r="H13" s="9" t="n"/>
      <c r="I13" s="77" t="n"/>
      <c r="J13" s="9" t="inlineStr">
        <is>
          <t>IT</t>
        </is>
      </c>
      <c r="K13" s="9" t="n"/>
      <c r="L13" s="43">
        <f>IF(Table2[[#This Row],[Date]]&lt;&gt;0,"Stock In"," ")</f>
        <v/>
      </c>
      <c r="Z13" s="6" t="inlineStr">
        <is>
          <t>Ethernet to USB adaptors</t>
        </is>
      </c>
      <c r="AA13" s="7">
        <f>SUMIF($C$6:$C$99571,Z13,$F$6:$F$99571)</f>
        <v/>
      </c>
      <c r="AB13" s="7">
        <f>SUMIF($O$6:$O$99505,Z13,$R$6:$R$99505)</f>
        <v/>
      </c>
      <c r="AC13" s="81">
        <f>AA13-AB13</f>
        <v/>
      </c>
      <c r="AD13" s="17">
        <f>VLOOKUP(Z13,Table1[[#All],[Product Name]:[Critical Levels]],5,0)</f>
        <v/>
      </c>
      <c r="AE13" s="17">
        <f>VLOOKUP(Z13,Table1[[#All],[Product Name]:[Critical Levels]],6,0)</f>
        <v/>
      </c>
      <c r="AG13" s="23">
        <f>IF(AC13&lt;=AE13, "Critical", IF(AC13&lt;=AD13, "Low", " "))</f>
        <v/>
      </c>
      <c r="AH13" s="23">
        <f>AD13</f>
        <v/>
      </c>
    </row>
    <row r="14" ht="15" customHeight="1" s="64">
      <c r="B14" s="8" t="n">
        <v>46081</v>
      </c>
      <c r="C14" s="9" t="inlineStr">
        <is>
          <t>Phones - Voip</t>
        </is>
      </c>
      <c r="D14" s="12" t="inlineStr">
        <is>
          <t>23WZ2600008R</t>
        </is>
      </c>
      <c r="E14" s="9" t="inlineStr">
        <is>
          <t>Avaya</t>
        </is>
      </c>
      <c r="F14" s="10" t="n">
        <v>1</v>
      </c>
      <c r="G14" s="9" t="n"/>
      <c r="H14" s="9" t="n"/>
      <c r="I14" s="77" t="n"/>
      <c r="J14" s="9" t="inlineStr">
        <is>
          <t>IT</t>
        </is>
      </c>
      <c r="K14" s="9" t="n"/>
      <c r="L14" s="43">
        <f>IF(Table2[[#This Row],[Date]]&lt;&gt;0,"Stock In"," ")</f>
        <v/>
      </c>
      <c r="Z14" s="6" t="inlineStr">
        <is>
          <t>Fibre - Multi mode (LC to ST)</t>
        </is>
      </c>
      <c r="AA14" s="7">
        <f>SUMIF($C$6:$C$99571,Z14,$F$6:$F$99571)</f>
        <v/>
      </c>
      <c r="AB14" s="7">
        <f>SUMIF($O$6:$O$99505,Z14,$R$6:$R$99505)</f>
        <v/>
      </c>
      <c r="AC14" s="81">
        <f>AA14-AB14</f>
        <v/>
      </c>
      <c r="AD14" s="17">
        <f>VLOOKUP(Z14,Table1[[#All],[Product Name]:[Critical Levels]],5,0)</f>
        <v/>
      </c>
      <c r="AE14" s="17">
        <f>VLOOKUP(Z14,Table1[[#All],[Product Name]:[Critical Levels]],6,0)</f>
        <v/>
      </c>
      <c r="AG14" s="23">
        <f>IF(AC14&lt;=AE14, "Critical", IF(AC14&lt;=AD14, "Low", " "))</f>
        <v/>
      </c>
      <c r="AH14" s="23">
        <f>AD14</f>
        <v/>
      </c>
    </row>
    <row r="15" ht="15" customHeight="1" s="64">
      <c r="B15" s="8" t="n">
        <v>46081</v>
      </c>
      <c r="C15" s="9" t="inlineStr">
        <is>
          <t>Phones - Voip</t>
        </is>
      </c>
      <c r="D15" s="12" t="inlineStr">
        <is>
          <t>23WZ364000WP</t>
        </is>
      </c>
      <c r="E15" s="9" t="inlineStr">
        <is>
          <t>Avaya</t>
        </is>
      </c>
      <c r="F15" s="10" t="n">
        <v>1</v>
      </c>
      <c r="G15" s="9" t="n"/>
      <c r="H15" s="9" t="n"/>
      <c r="I15" s="77" t="n"/>
      <c r="J15" s="9" t="inlineStr">
        <is>
          <t>IT</t>
        </is>
      </c>
      <c r="K15" s="9" t="n"/>
      <c r="L15" s="43">
        <f>IF(Table2[[#This Row],[Date]]&lt;&gt;0,"Stock In"," ")</f>
        <v/>
      </c>
      <c r="Z15" s="6" t="inlineStr">
        <is>
          <t>Fibre - Multi mode Cables (LC to LC)</t>
        </is>
      </c>
      <c r="AA15" s="7">
        <f>SUMIF($C$6:$C$99571,Z15,$F$6:$F$99571)</f>
        <v/>
      </c>
      <c r="AB15" s="7">
        <f>SUMIF($O$6:$O$99505,Z15,$R$6:$R$99505)</f>
        <v/>
      </c>
      <c r="AC15" s="81">
        <f>AA15-AB15</f>
        <v/>
      </c>
      <c r="AD15" s="17">
        <f>VLOOKUP(Z15,Table1[[#All],[Product Name]:[Critical Levels]],5,0)</f>
        <v/>
      </c>
      <c r="AE15" s="17">
        <f>VLOOKUP(Z15,Table1[[#All],[Product Name]:[Critical Levels]],6,0)</f>
        <v/>
      </c>
      <c r="AG15" s="23">
        <f>IF(AC15&lt;=AE15, "Critical", IF(AC15&lt;=AD15, "Low", " "))</f>
        <v/>
      </c>
      <c r="AH15" s="23">
        <f>AD15</f>
        <v/>
      </c>
    </row>
    <row r="16" ht="15" customHeight="1" s="64">
      <c r="B16" s="8" t="n">
        <v>46081</v>
      </c>
      <c r="C16" s="9" t="inlineStr">
        <is>
          <t>Phones - Voip</t>
        </is>
      </c>
      <c r="D16" s="12" t="inlineStr">
        <is>
          <t>23WZ3640007R</t>
        </is>
      </c>
      <c r="E16" s="9" t="inlineStr">
        <is>
          <t>Avaya</t>
        </is>
      </c>
      <c r="F16" s="10" t="n">
        <v>1</v>
      </c>
      <c r="G16" s="9" t="n"/>
      <c r="H16" s="9" t="n"/>
      <c r="I16" s="77" t="n"/>
      <c r="J16" s="9" t="inlineStr">
        <is>
          <t>IT</t>
        </is>
      </c>
      <c r="K16" s="9" t="n"/>
      <c r="L16" s="43">
        <f>IF(Table2[[#This Row],[Date]]&lt;&gt;0,"Stock In"," ")</f>
        <v/>
      </c>
      <c r="Z16" s="6" t="inlineStr">
        <is>
          <t>Fibre - Single mode (LC to LC)</t>
        </is>
      </c>
      <c r="AA16" s="7">
        <f>SUMIF($C$6:$C$99571,Z16,$F$6:$F$99571)</f>
        <v/>
      </c>
      <c r="AB16" s="7">
        <f>SUMIF($O$6:$O$99505,Z16,$R$6:$R$99505)</f>
        <v/>
      </c>
      <c r="AC16" s="81">
        <f>AA16-AB16</f>
        <v/>
      </c>
      <c r="AD16" s="17">
        <f>VLOOKUP(Z16,Table1[[#All],[Product Name]:[Critical Levels]],5,0)</f>
        <v/>
      </c>
      <c r="AE16" s="17">
        <f>VLOOKUP(Z16,Table1[[#All],[Product Name]:[Critical Levels]],6,0)</f>
        <v/>
      </c>
      <c r="AG16" s="23">
        <f>IF(AC16&lt;=AE16, "Critical", IF(AC16&lt;=AD16, "Low", " "))</f>
        <v/>
      </c>
      <c r="AH16" s="23">
        <f>AD16</f>
        <v/>
      </c>
    </row>
    <row r="17" ht="15" customHeight="1" s="64">
      <c r="B17" s="8" t="n">
        <v>46081</v>
      </c>
      <c r="C17" s="9" t="inlineStr">
        <is>
          <t>Phones - Voip</t>
        </is>
      </c>
      <c r="D17" s="12" t="inlineStr">
        <is>
          <t>23WZ364000RC</t>
        </is>
      </c>
      <c r="E17" s="9" t="inlineStr">
        <is>
          <t>Avaya</t>
        </is>
      </c>
      <c r="F17" s="10" t="n">
        <v>1</v>
      </c>
      <c r="G17" s="9" t="n"/>
      <c r="H17" s="9" t="n"/>
      <c r="I17" s="77" t="n"/>
      <c r="J17" s="9" t="inlineStr">
        <is>
          <t>IT</t>
        </is>
      </c>
      <c r="K17" s="9" t="n"/>
      <c r="L17" s="43">
        <f>IF(Table2[[#This Row],[Date]]&lt;&gt;0,"Stock In"," ")</f>
        <v/>
      </c>
      <c r="Z17" s="6" t="inlineStr">
        <is>
          <t>GK420T Heads</t>
        </is>
      </c>
      <c r="AA17" s="7">
        <f>SUMIF($C$6:$C$99571,Z17,$F$6:$F$99571)</f>
        <v/>
      </c>
      <c r="AB17" s="7">
        <f>SUMIF($O$6:$O$99505,Z17,$R$6:$R$99505)</f>
        <v/>
      </c>
      <c r="AC17" s="81">
        <f>AA17-AB17</f>
        <v/>
      </c>
      <c r="AD17" s="17">
        <f>VLOOKUP(Z17,Table1[[#All],[Product Name]:[Critical Levels]],5,0)</f>
        <v/>
      </c>
      <c r="AE17" s="17">
        <f>VLOOKUP(Z17,Table1[[#All],[Product Name]:[Critical Levels]],6,0)</f>
        <v/>
      </c>
      <c r="AG17" s="23">
        <f>IF(AC17&lt;=AE17, "Critical", IF(AC17&lt;=AD17, "Low", " "))</f>
        <v/>
      </c>
      <c r="AH17" s="23">
        <f>AD17</f>
        <v/>
      </c>
    </row>
    <row r="18" ht="15" customHeight="1" s="64">
      <c r="B18" s="8" t="n">
        <v>46081</v>
      </c>
      <c r="C18" s="9" t="inlineStr">
        <is>
          <t>Phones - Voip</t>
        </is>
      </c>
      <c r="D18" s="12" t="inlineStr">
        <is>
          <t>23WZ364000XK</t>
        </is>
      </c>
      <c r="E18" s="9" t="inlineStr">
        <is>
          <t>Avaya</t>
        </is>
      </c>
      <c r="F18" s="10" t="n">
        <v>1</v>
      </c>
      <c r="G18" s="9" t="n"/>
      <c r="H18" s="9" t="n"/>
      <c r="I18" s="77" t="n"/>
      <c r="J18" s="9" t="inlineStr">
        <is>
          <t>IT</t>
        </is>
      </c>
      <c r="K18" s="9" t="n"/>
      <c r="L18" s="43">
        <f>IF(Table2[[#This Row],[Date]]&lt;&gt;0,"Stock In"," ")</f>
        <v/>
      </c>
      <c r="Z18" s="6" t="inlineStr">
        <is>
          <t>Hand Held Scanners</t>
        </is>
      </c>
      <c r="AA18" s="7">
        <f>SUMIF($C$6:$C$99571,Z18,$F$6:$F$99571)</f>
        <v/>
      </c>
      <c r="AB18" s="7">
        <f>SUMIF($O$6:$O$99505,Z18,$R$6:$R$99505)</f>
        <v/>
      </c>
      <c r="AC18" s="81">
        <f>AA18-AB18</f>
        <v/>
      </c>
      <c r="AD18" s="17">
        <f>VLOOKUP(Z18,Table1[[#All],[Product Name]:[Critical Levels]],5,0)</f>
        <v/>
      </c>
      <c r="AE18" s="17">
        <f>VLOOKUP(Z18,Table1[[#All],[Product Name]:[Critical Levels]],6,0)</f>
        <v/>
      </c>
      <c r="AG18" s="23">
        <f>IF(AC18&lt;=AE18, "Critical", IF(AC18&lt;=AD18, "Low", " "))</f>
        <v/>
      </c>
      <c r="AH18" s="23">
        <f>AD18</f>
        <v/>
      </c>
    </row>
    <row r="19" ht="15" customHeight="1" s="64">
      <c r="B19" s="8" t="n">
        <v>46081</v>
      </c>
      <c r="C19" s="9" t="inlineStr">
        <is>
          <t>Phones - Voip</t>
        </is>
      </c>
      <c r="D19" s="12" t="inlineStr">
        <is>
          <t>8010403F03605338</t>
        </is>
      </c>
      <c r="E19" s="9" t="inlineStr">
        <is>
          <t>YeaLink</t>
        </is>
      </c>
      <c r="F19" s="10" t="n">
        <v>1</v>
      </c>
      <c r="G19" s="9" t="n"/>
      <c r="H19" s="9" t="n"/>
      <c r="I19" s="77" t="n"/>
      <c r="J19" s="9" t="inlineStr">
        <is>
          <t>IT</t>
        </is>
      </c>
      <c r="K19" s="9" t="n"/>
      <c r="L19" s="43">
        <f>IF(Table2[[#This Row],[Date]]&lt;&gt;0,"Stock In"," ")</f>
        <v/>
      </c>
      <c r="Z19" s="6" t="inlineStr">
        <is>
          <t>Hand Held Zebra Battery</t>
        </is>
      </c>
      <c r="AA19" s="7">
        <f>SUMIF($C$6:$C$99571,Z19,$F$6:$F$99571)</f>
        <v/>
      </c>
      <c r="AB19" s="7">
        <f>SUMIF($O$6:$O$99505,Z19,$R$6:$R$99505)</f>
        <v/>
      </c>
      <c r="AC19" s="81">
        <f>AA19-AB19</f>
        <v/>
      </c>
      <c r="AD19" s="17">
        <f>VLOOKUP(Z19,Table1[[#All],[Product Name]:[Critical Levels]],5,0)</f>
        <v/>
      </c>
      <c r="AE19" s="17">
        <f>VLOOKUP(Z19,Table1[[#All],[Product Name]:[Critical Levels]],6,0)</f>
        <v/>
      </c>
      <c r="AG19" s="23">
        <f>IF(AC19&lt;=AE19, "Critical", IF(AC19&lt;=AD19, "Low", " "))</f>
        <v/>
      </c>
      <c r="AH19" s="23">
        <f>AD19</f>
        <v/>
      </c>
    </row>
    <row r="20" ht="15" customHeight="1" s="64">
      <c r="B20" s="8" t="n">
        <v>46081</v>
      </c>
      <c r="C20" s="9" t="inlineStr">
        <is>
          <t>Phones - Analogue</t>
        </is>
      </c>
      <c r="D20" s="12" t="inlineStr">
        <is>
          <t>KKBY535521X</t>
        </is>
      </c>
      <c r="E20" s="9" t="inlineStr">
        <is>
          <t>Samsung</t>
        </is>
      </c>
      <c r="F20" s="10" t="n">
        <v>1</v>
      </c>
      <c r="G20" s="9" t="n"/>
      <c r="H20" s="9" t="n"/>
      <c r="I20" s="77" t="n"/>
      <c r="J20" s="9" t="inlineStr">
        <is>
          <t>IT</t>
        </is>
      </c>
      <c r="K20" s="9" t="n"/>
      <c r="L20" s="43">
        <f>IF(Table2[[#This Row],[Date]]&lt;&gt;0,"Stock In"," ")</f>
        <v/>
      </c>
      <c r="Z20" s="6" t="inlineStr">
        <is>
          <t>Hard Drives - HDD</t>
        </is>
      </c>
      <c r="AA20" s="7">
        <f>SUMIF($C$6:$C$99571,Z20,$F$6:$F$99571)</f>
        <v/>
      </c>
      <c r="AB20" s="7">
        <f>SUMIF($O$6:$O$99505,Z20,$R$6:$R$99505)</f>
        <v/>
      </c>
      <c r="AC20" s="81">
        <f>AA20-AB20</f>
        <v/>
      </c>
      <c r="AD20" s="17">
        <f>VLOOKUP(Z20,Table1[[#All],[Product Name]:[Critical Levels]],5,0)</f>
        <v/>
      </c>
      <c r="AE20" s="17">
        <f>VLOOKUP(Z20,Table1[[#All],[Product Name]:[Critical Levels]],6,0)</f>
        <v/>
      </c>
      <c r="AG20" s="23">
        <f>IF(AC20&lt;=AE20, "Critical", IF(AC20&lt;=AD20, "Low", " "))</f>
        <v/>
      </c>
      <c r="AH20" s="23">
        <f>AD20</f>
        <v/>
      </c>
    </row>
    <row r="21" ht="15" customHeight="1" s="64">
      <c r="B21" s="8" t="n">
        <v>46081</v>
      </c>
      <c r="C21" s="9" t="inlineStr">
        <is>
          <t>Hand Held Scanners</t>
        </is>
      </c>
      <c r="D21" s="11" t="n">
        <v>25113523706792</v>
      </c>
      <c r="E21" s="9" t="inlineStr">
        <is>
          <t>Zebra DS 2278</t>
        </is>
      </c>
      <c r="F21" s="10" t="n">
        <v>1</v>
      </c>
      <c r="G21" s="9" t="n"/>
      <c r="H21" s="9" t="n"/>
      <c r="I21" s="77" t="n"/>
      <c r="J21" s="9" t="inlineStr">
        <is>
          <t>IT</t>
        </is>
      </c>
      <c r="K21" s="9" t="n"/>
      <c r="L21" s="43">
        <f>IF(Table2[[#This Row],[Date]]&lt;&gt;0,"Stock In"," ")</f>
        <v/>
      </c>
      <c r="Z21" s="6" t="inlineStr">
        <is>
          <t>Hard Drives - SSD</t>
        </is>
      </c>
      <c r="AA21" s="7">
        <f>SUMIF($C$6:$C$99571,Z21,$F$6:$F$99571)</f>
        <v/>
      </c>
      <c r="AB21" s="7">
        <f>SUMIF($O$6:$O$99505,Z21,$R$6:$R$99505)</f>
        <v/>
      </c>
      <c r="AC21" s="81">
        <f>AA21-AB21</f>
        <v/>
      </c>
      <c r="AD21" s="17">
        <f>VLOOKUP(Z21,Table1[[#All],[Product Name]:[Critical Levels]],5,0)</f>
        <v/>
      </c>
      <c r="AE21" s="17">
        <f>VLOOKUP(Z21,Table1[[#All],[Product Name]:[Critical Levels]],6,0)</f>
        <v/>
      </c>
      <c r="AG21" s="23">
        <f>IF(AC21&lt;=AE21, "Critical", IF(AC21&lt;=AD21, "Low", " "))</f>
        <v/>
      </c>
      <c r="AH21" s="23">
        <f>AD21</f>
        <v/>
      </c>
    </row>
    <row r="22" ht="15" customHeight="1" s="64">
      <c r="B22" s="8" t="n">
        <v>46081</v>
      </c>
      <c r="C22" s="9" t="inlineStr">
        <is>
          <t>Hand Held Scanners</t>
        </is>
      </c>
      <c r="D22" s="11" t="n">
        <v>25013523704999</v>
      </c>
      <c r="E22" s="9" t="inlineStr">
        <is>
          <t>Zebra DS 2278</t>
        </is>
      </c>
      <c r="F22" s="10" t="n">
        <v>1</v>
      </c>
      <c r="G22" s="9" t="n"/>
      <c r="H22" s="9" t="n"/>
      <c r="I22" s="77" t="n"/>
      <c r="J22" s="9" t="inlineStr">
        <is>
          <t>IT</t>
        </is>
      </c>
      <c r="K22" s="9" t="n"/>
      <c r="L22" s="43">
        <f>IF(Table2[[#This Row],[Date]]&lt;&gt;0,"Stock In"," ")</f>
        <v/>
      </c>
      <c r="Z22" s="6" t="inlineStr">
        <is>
          <t>Label Printers</t>
        </is>
      </c>
      <c r="AA22" s="7">
        <f>SUMIF($C$6:$C$99571,Z22,$F$6:$F$99571)</f>
        <v/>
      </c>
      <c r="AB22" s="7">
        <f>SUMIF($O$6:$O$99505,Z22,$R$6:$R$99505)</f>
        <v/>
      </c>
      <c r="AC22" s="81">
        <f>AA22-AB22</f>
        <v/>
      </c>
      <c r="AD22" s="17">
        <f>VLOOKUP(Z22,Table1[[#All],[Product Name]:[Critical Levels]],5,0)</f>
        <v/>
      </c>
      <c r="AE22" s="17">
        <f>VLOOKUP(Z22,Table1[[#All],[Product Name]:[Critical Levels]],6,0)</f>
        <v/>
      </c>
      <c r="AG22" s="23">
        <f>IF(AC22&lt;=AE22, "Critical", IF(AC22&lt;=AD22, "Low", " "))</f>
        <v/>
      </c>
      <c r="AH22" s="23">
        <f>AD22</f>
        <v/>
      </c>
    </row>
    <row r="23" ht="15" customHeight="1" s="64">
      <c r="B23" s="8" t="n">
        <v>46081</v>
      </c>
      <c r="C23" s="9" t="inlineStr">
        <is>
          <t>Hand Held Scanners</t>
        </is>
      </c>
      <c r="D23" s="11" t="n">
        <v>25013523704961</v>
      </c>
      <c r="E23" s="9" t="inlineStr">
        <is>
          <t>Zebra DS 2278</t>
        </is>
      </c>
      <c r="F23" s="10" t="n">
        <v>1</v>
      </c>
      <c r="G23" s="9" t="n"/>
      <c r="H23" s="9" t="n"/>
      <c r="I23" s="77" t="n"/>
      <c r="J23" s="9" t="inlineStr">
        <is>
          <t>IT</t>
        </is>
      </c>
      <c r="K23" s="9" t="n"/>
      <c r="L23" s="43">
        <f>IF(Table2[[#This Row],[Date]]&lt;&gt;0,"Stock In"," ")</f>
        <v/>
      </c>
      <c r="Z23" s="6" t="inlineStr">
        <is>
          <t>Laptop Bags</t>
        </is>
      </c>
      <c r="AA23" s="7">
        <f>SUMIF($C$6:$C$99571,Z23,$F$6:$F$99571)</f>
        <v/>
      </c>
      <c r="AB23" s="7">
        <f>SUMIF($O$6:$O$99505,Z23,$R$6:$R$99505)</f>
        <v/>
      </c>
      <c r="AC23" s="81">
        <f>AA23-AB23</f>
        <v/>
      </c>
      <c r="AD23" s="17">
        <f>VLOOKUP(Z23,Table1[[#All],[Product Name]:[Critical Levels]],5,0)</f>
        <v/>
      </c>
      <c r="AE23" s="17">
        <f>VLOOKUP(Z23,Table1[[#All],[Product Name]:[Critical Levels]],6,0)</f>
        <v/>
      </c>
      <c r="AG23" s="23">
        <f>IF(AC23&lt;=AE23, "Critical", IF(AC23&lt;=AD23, "Low", " "))</f>
        <v/>
      </c>
      <c r="AH23" s="23">
        <f>AD23</f>
        <v/>
      </c>
    </row>
    <row r="24" ht="15" customHeight="1" s="64">
      <c r="B24" s="8" t="n">
        <v>46081</v>
      </c>
      <c r="C24" s="9" t="inlineStr">
        <is>
          <t>USB Hubs</t>
        </is>
      </c>
      <c r="D24" s="11" t="n"/>
      <c r="E24" s="9" t="n"/>
      <c r="F24" s="10" t="n">
        <v>7</v>
      </c>
      <c r="G24" s="9" t="n"/>
      <c r="H24" s="9" t="n"/>
      <c r="I24" s="77" t="n"/>
      <c r="J24" s="9" t="inlineStr">
        <is>
          <t>IT</t>
        </is>
      </c>
      <c r="K24" s="9" t="n"/>
      <c r="L24" s="43">
        <f>IF(Table2[[#This Row],[Date]]&lt;&gt;0,"Stock In"," ")</f>
        <v/>
      </c>
      <c r="Z24" s="6" t="inlineStr">
        <is>
          <t>Laptop Chargers</t>
        </is>
      </c>
      <c r="AA24" s="7">
        <f>SUMIF($C$6:$C$99571,Z24,$F$6:$F$99571)</f>
        <v/>
      </c>
      <c r="AB24" s="7">
        <f>SUMIF($O$6:$O$99505,Z24,$R$6:$R$99505)</f>
        <v/>
      </c>
      <c r="AC24" s="81">
        <f>AA24-AB24</f>
        <v/>
      </c>
      <c r="AD24" s="17">
        <f>VLOOKUP(Z24,Table1[[#All],[Product Name]:[Critical Levels]],5,0)</f>
        <v/>
      </c>
      <c r="AE24" s="17">
        <f>VLOOKUP(Z24,Table1[[#All],[Product Name]:[Critical Levels]],6,0)</f>
        <v/>
      </c>
      <c r="AG24" s="23">
        <f>IF(AC24&lt;=AE24, "Critical", IF(AC24&lt;=AD24, "Low", " "))</f>
        <v/>
      </c>
      <c r="AH24" s="23">
        <f>AD24</f>
        <v/>
      </c>
    </row>
    <row r="25" ht="15" customHeight="1" s="64">
      <c r="B25" s="8" t="n">
        <v>46081</v>
      </c>
      <c r="C25" s="9" t="inlineStr">
        <is>
          <t>Ethernet to USB adaptors</t>
        </is>
      </c>
      <c r="D25" s="11" t="n"/>
      <c r="E25" s="9" t="n"/>
      <c r="F25" s="10" t="n">
        <v>4</v>
      </c>
      <c r="G25" s="9" t="n"/>
      <c r="H25" s="9" t="n"/>
      <c r="I25" s="77" t="n"/>
      <c r="J25" s="9" t="inlineStr">
        <is>
          <t>IT</t>
        </is>
      </c>
      <c r="K25" s="9" t="n"/>
      <c r="L25" s="43">
        <f>IF(Table2[[#This Row],[Date]]&lt;&gt;0,"Stock In"," ")</f>
        <v/>
      </c>
      <c r="Z25" s="6" t="inlineStr">
        <is>
          <t>Laptops</t>
        </is>
      </c>
      <c r="AA25" s="7">
        <f>SUMIF($C$6:$C$99571,Z25,$F$6:$F$99571)</f>
        <v/>
      </c>
      <c r="AB25" s="7">
        <f>SUMIF($O$6:$O$99505,Z25,$R$6:$R$99505)</f>
        <v/>
      </c>
      <c r="AC25" s="81">
        <f>AA25-AB25</f>
        <v/>
      </c>
      <c r="AD25" s="17">
        <f>VLOOKUP(Z25,Table1[[#All],[Product Name]:[Critical Levels]],5,0)</f>
        <v/>
      </c>
      <c r="AE25" s="17">
        <f>VLOOKUP(Z25,Table1[[#All],[Product Name]:[Critical Levels]],6,0)</f>
        <v/>
      </c>
      <c r="AG25" s="23">
        <f>IF(AC25&lt;=AE25, "Critical", IF(AC25&lt;=AD25, "Low", " "))</f>
        <v/>
      </c>
      <c r="AH25" s="23">
        <f>AD25</f>
        <v/>
      </c>
    </row>
    <row r="26" ht="15" customHeight="1" s="64">
      <c r="B26" s="8" t="n">
        <v>46081</v>
      </c>
      <c r="C26" s="9" t="inlineStr">
        <is>
          <t>USB Web Cam</t>
        </is>
      </c>
      <c r="D26" s="11" t="n"/>
      <c r="E26" s="9" t="n"/>
      <c r="F26" s="10" t="n">
        <v>2</v>
      </c>
      <c r="G26" s="9" t="n"/>
      <c r="H26" s="9" t="n"/>
      <c r="I26" s="77" t="n"/>
      <c r="J26" s="9" t="inlineStr">
        <is>
          <t>IT</t>
        </is>
      </c>
      <c r="K26" s="9" t="n"/>
      <c r="L26" s="43">
        <f>IF(Table2[[#This Row],[Date]]&lt;&gt;0,"Stock In"," ")</f>
        <v/>
      </c>
      <c r="Z26" s="6" t="inlineStr">
        <is>
          <t>M Class Printers</t>
        </is>
      </c>
      <c r="AA26" s="7">
        <f>SUMIF($C$6:$C$99571,Z26,$F$6:$F$99571)</f>
        <v/>
      </c>
      <c r="AB26" s="7">
        <f>SUMIF($O$6:$O$99505,Z26,$R$6:$R$99505)</f>
        <v/>
      </c>
      <c r="AC26" s="81">
        <f>AA26-AB26</f>
        <v/>
      </c>
      <c r="AD26" s="17">
        <f>VLOOKUP(Z26,Table1[[#All],[Product Name]:[Critical Levels]],5,0)</f>
        <v/>
      </c>
      <c r="AE26" s="17">
        <f>VLOOKUP(Z26,Table1[[#All],[Product Name]:[Critical Levels]],6,0)</f>
        <v/>
      </c>
      <c r="AG26" s="23">
        <f>IF(AC26&lt;=AE26, "Critical", IF(AC26&lt;=AD26, "Low", " "))</f>
        <v/>
      </c>
      <c r="AH26" s="23">
        <f>AD26</f>
        <v/>
      </c>
    </row>
    <row r="27" ht="15" customHeight="1" s="64">
      <c r="B27" s="8" t="n">
        <v>46081</v>
      </c>
      <c r="C27" s="9" t="inlineStr">
        <is>
          <t>Switch - Unmanaged</t>
        </is>
      </c>
      <c r="D27" s="11" t="n"/>
      <c r="E27" s="9" t="n"/>
      <c r="F27" s="10" t="n">
        <v>9</v>
      </c>
      <c r="G27" s="9" t="n"/>
      <c r="H27" s="9" t="n"/>
      <c r="I27" s="77" t="n"/>
      <c r="J27" s="9" t="inlineStr">
        <is>
          <t>IT</t>
        </is>
      </c>
      <c r="K27" s="9" t="n"/>
      <c r="L27" s="43">
        <f>IF(Table2[[#This Row],[Date]]&lt;&gt;0,"Stock In"," ")</f>
        <v/>
      </c>
      <c r="Z27" s="6" t="inlineStr">
        <is>
          <t>MM Stations</t>
        </is>
      </c>
      <c r="AA27" s="7">
        <f>SUMIF($C$6:$C$99571,Z27,$F$6:$F$99571)</f>
        <v/>
      </c>
      <c r="AB27" s="7">
        <f>SUMIF($O$6:$O$99505,Z27,$R$6:$R$99505)</f>
        <v/>
      </c>
      <c r="AC27" s="81">
        <f>AA27-AB27</f>
        <v/>
      </c>
      <c r="AD27" s="17">
        <f>VLOOKUP(Z27,Table1[[#All],[Product Name]:[Critical Levels]],5,0)</f>
        <v/>
      </c>
      <c r="AE27" s="17">
        <f>VLOOKUP(Z27,Table1[[#All],[Product Name]:[Critical Levels]],6,0)</f>
        <v/>
      </c>
      <c r="AG27" s="23">
        <f>IF(AC27&lt;=AE27, "Critical", IF(AC27&lt;=AD27, "Low", " "))</f>
        <v/>
      </c>
      <c r="AH27" s="23">
        <f>AD27</f>
        <v/>
      </c>
    </row>
    <row r="28" ht="15" customHeight="1" s="64">
      <c r="B28" s="8" t="n">
        <v>46081</v>
      </c>
      <c r="C28" s="9" t="inlineStr">
        <is>
          <t>Hard Drives - HDD</t>
        </is>
      </c>
      <c r="D28" s="11" t="n"/>
      <c r="E28" s="9" t="n"/>
      <c r="F28" s="10" t="n">
        <v>7</v>
      </c>
      <c r="G28" s="9" t="n"/>
      <c r="H28" s="9" t="n"/>
      <c r="I28" s="77" t="n"/>
      <c r="J28" s="9" t="inlineStr">
        <is>
          <t>IT</t>
        </is>
      </c>
      <c r="K28" s="9" t="n"/>
      <c r="L28" s="43">
        <f>IF(Table2[[#This Row],[Date]]&lt;&gt;0,"Stock In"," ")</f>
        <v/>
      </c>
      <c r="Z28" s="6" t="inlineStr">
        <is>
          <t>Monitors</t>
        </is>
      </c>
      <c r="AA28" s="7">
        <f>SUMIF($C$6:$C$99571,Z28,$F$6:$F$99571)</f>
        <v/>
      </c>
      <c r="AB28" s="7">
        <f>SUMIF($O$6:$O$99505,Z28,$R$6:$R$99505)</f>
        <v/>
      </c>
      <c r="AC28" s="81">
        <f>AA28-AB28</f>
        <v/>
      </c>
      <c r="AD28" s="17">
        <f>VLOOKUP(Z28,Table1[[#All],[Product Name]:[Critical Levels]],5,0)</f>
        <v/>
      </c>
      <c r="AE28" s="17">
        <f>VLOOKUP(Z28,Table1[[#All],[Product Name]:[Critical Levels]],6,0)</f>
        <v/>
      </c>
      <c r="AG28" s="23">
        <f>IF(AC28&lt;=AE28, "Critical", IF(AC28&lt;=AD28, "Low", " "))</f>
        <v/>
      </c>
      <c r="AH28" s="23">
        <f>AD28</f>
        <v/>
      </c>
    </row>
    <row r="29" ht="15" customHeight="1" s="64">
      <c r="B29" s="8" t="n">
        <v>46081</v>
      </c>
      <c r="C29" s="9" t="inlineStr">
        <is>
          <t>Hard Drives - SSD</t>
        </is>
      </c>
      <c r="D29" s="11" t="n"/>
      <c r="E29" s="9" t="n"/>
      <c r="F29" s="10" t="n">
        <v>1</v>
      </c>
      <c r="G29" s="9" t="n"/>
      <c r="H29" s="9" t="n"/>
      <c r="I29" s="77" t="n"/>
      <c r="J29" s="9" t="inlineStr">
        <is>
          <t>IT</t>
        </is>
      </c>
      <c r="K29" s="9" t="n"/>
      <c r="L29" s="43">
        <f>IF(Table2[[#This Row],[Date]]&lt;&gt;0,"Stock In"," ")</f>
        <v/>
      </c>
      <c r="Z29" s="6" t="inlineStr">
        <is>
          <t>Network Cable(1 Roll x 200m)</t>
        </is>
      </c>
      <c r="AA29" s="85">
        <f>SUMIF($C$6:$C$99571,Z29,$F$6:$F$99571)</f>
        <v/>
      </c>
      <c r="AB29" s="7">
        <f>SUMIF($O$6:$O$99505,Z29,$R$6:$R$99505)</f>
        <v/>
      </c>
      <c r="AC29" s="86">
        <f>AA29-AB29</f>
        <v/>
      </c>
      <c r="AD29" s="17">
        <f>VLOOKUP(Z29,Table1[[#All],[Product Name]:[Critical Levels]],5,0)</f>
        <v/>
      </c>
      <c r="AE29" s="17">
        <f>VLOOKUP(Z29,Table1[[#All],[Product Name]:[Critical Levels]],6,0)</f>
        <v/>
      </c>
      <c r="AG29" s="23">
        <f>IF(AC29&lt;=AE29, "Critical", IF(AC29&lt;=AD29, "Low", " "))</f>
        <v/>
      </c>
      <c r="AH29" s="23">
        <f>AD29</f>
        <v/>
      </c>
    </row>
    <row r="30" ht="15" customHeight="1" s="64">
      <c r="B30" s="8" t="n">
        <v>46081</v>
      </c>
      <c r="C30" s="9" t="inlineStr">
        <is>
          <t>Label Printers</t>
        </is>
      </c>
      <c r="D30" s="11" t="inlineStr">
        <is>
          <t>29J173600541</t>
        </is>
      </c>
      <c r="E30" s="9" t="inlineStr">
        <is>
          <t>Zebra ZD230</t>
        </is>
      </c>
      <c r="F30" s="10" t="n">
        <v>1</v>
      </c>
      <c r="G30" s="9" t="n"/>
      <c r="H30" s="9" t="n"/>
      <c r="I30" s="77" t="n"/>
      <c r="J30" s="9" t="inlineStr">
        <is>
          <t>IT</t>
        </is>
      </c>
      <c r="K30" s="9" t="n"/>
      <c r="L30" s="43">
        <f>IF(Table2[[#This Row],[Date]]&lt;&gt;0,"Stock In"," ")</f>
        <v/>
      </c>
      <c r="Z30" s="6" t="inlineStr">
        <is>
          <t>NumPads</t>
        </is>
      </c>
      <c r="AA30" s="7">
        <f>SUMIF($C$6:$C$99571,Z30,$F$6:$F$99571)</f>
        <v/>
      </c>
      <c r="AB30" s="7">
        <f>SUMIF($O$6:$O$99505,Z30,$R$6:$R$99505)</f>
        <v/>
      </c>
      <c r="AC30" s="81">
        <f>AA30-AB30</f>
        <v/>
      </c>
      <c r="AD30" s="17">
        <f>VLOOKUP(Z30,Table1[[#All],[Product Name]:[Critical Levels]],5,0)</f>
        <v/>
      </c>
      <c r="AE30" s="17">
        <f>VLOOKUP(Z30,Table1[[#All],[Product Name]:[Critical Levels]],6,0)</f>
        <v/>
      </c>
      <c r="AG30" s="23">
        <f>IF(AC30&lt;=AE30, "Critical", IF(AC30&lt;=AD30, "Low", " "))</f>
        <v/>
      </c>
      <c r="AH30" s="23">
        <f>AD30</f>
        <v/>
      </c>
    </row>
    <row r="31" ht="15" customHeight="1" s="64">
      <c r="B31" s="8" t="n">
        <v>46081</v>
      </c>
      <c r="C31" s="9" t="inlineStr">
        <is>
          <t>Label Printers</t>
        </is>
      </c>
      <c r="D31" s="11" t="inlineStr">
        <is>
          <t>28J174600908</t>
        </is>
      </c>
      <c r="E31" s="9" t="inlineStr">
        <is>
          <t>Zebra ZD230</t>
        </is>
      </c>
      <c r="F31" s="10" t="n">
        <v>1</v>
      </c>
      <c r="G31" s="9" t="n"/>
      <c r="H31" s="9" t="n"/>
      <c r="I31" s="77" t="n"/>
      <c r="J31" s="9" t="inlineStr">
        <is>
          <t>IT</t>
        </is>
      </c>
      <c r="K31" s="9" t="n"/>
      <c r="L31" s="43">
        <f>IF(Table2[[#This Row],[Date]]&lt;&gt;0,"Stock In"," ")</f>
        <v/>
      </c>
      <c r="Z31" s="6" t="inlineStr">
        <is>
          <t>Phones - Analogue</t>
        </is>
      </c>
      <c r="AA31" s="7">
        <f>SUMIF($C$6:$C$99571,Z31,$F$6:$F$99571)</f>
        <v/>
      </c>
      <c r="AB31" s="7">
        <f>SUMIF($O$6:$O$99505,Z31,$R$6:$R$99505)</f>
        <v/>
      </c>
      <c r="AC31" s="81">
        <f>AA31-AB31</f>
        <v/>
      </c>
      <c r="AD31" s="17">
        <f>VLOOKUP(Z31,Table1[[#All],[Product Name]:[Critical Levels]],5,0)</f>
        <v/>
      </c>
      <c r="AE31" s="17">
        <f>VLOOKUP(Z31,Table1[[#All],[Product Name]:[Critical Levels]],6,0)</f>
        <v/>
      </c>
      <c r="AG31" s="23">
        <f>IF(AC31&lt;=AE31, "Critical", IF(AC31&lt;=AD31, "Low", " "))</f>
        <v/>
      </c>
      <c r="AH31" s="23">
        <f>AD31</f>
        <v/>
      </c>
    </row>
    <row r="32" ht="15" customHeight="1" s="64">
      <c r="B32" s="8" t="n">
        <v>46081</v>
      </c>
      <c r="C32" s="9" t="inlineStr">
        <is>
          <t>Label Printers</t>
        </is>
      </c>
      <c r="D32" s="11" t="inlineStr">
        <is>
          <t>D4J251803235</t>
        </is>
      </c>
      <c r="E32" s="9" t="inlineStr">
        <is>
          <t>Zebra GK420t</t>
        </is>
      </c>
      <c r="F32" s="10" t="n">
        <v>1</v>
      </c>
      <c r="G32" s="9" t="n"/>
      <c r="H32" s="9" t="n"/>
      <c r="I32" s="77" t="n"/>
      <c r="J32" s="9" t="inlineStr">
        <is>
          <t>IT</t>
        </is>
      </c>
      <c r="K32" s="9" t="n"/>
      <c r="L32" s="43">
        <f>IF(Table2[[#This Row],[Date]]&lt;&gt;0,"Stock In"," ")</f>
        <v/>
      </c>
      <c r="Z32" s="6" t="inlineStr">
        <is>
          <t>Phones - Voip</t>
        </is>
      </c>
      <c r="AA32" s="7">
        <f>SUMIF($C$6:$C$99571,Z32,$F$6:$F$99571)</f>
        <v/>
      </c>
      <c r="AB32" s="7">
        <f>SUMIF($O$6:$O$99505,Z32,$R$6:$R$99505)</f>
        <v/>
      </c>
      <c r="AC32" s="81">
        <f>AA32-AB32</f>
        <v/>
      </c>
      <c r="AD32" s="17">
        <f>VLOOKUP(Z32,Table1[[#All],[Product Name]:[Critical Levels]],5,0)</f>
        <v/>
      </c>
      <c r="AE32" s="17">
        <f>VLOOKUP(Z32,Table1[[#All],[Product Name]:[Critical Levels]],6,0)</f>
        <v/>
      </c>
      <c r="AG32" s="23">
        <f>IF(AC32&lt;=AE32, "Critical", IF(AC32&lt;=AD32, "Low", " "))</f>
        <v/>
      </c>
      <c r="AH32" s="23">
        <f>AD32</f>
        <v/>
      </c>
    </row>
    <row r="33" ht="15" customHeight="1" s="64">
      <c r="B33" s="8" t="n">
        <v>46081</v>
      </c>
      <c r="C33" s="9" t="inlineStr">
        <is>
          <t>Label Printers</t>
        </is>
      </c>
      <c r="D33" s="11" t="inlineStr">
        <is>
          <t>D5J202602178</t>
        </is>
      </c>
      <c r="E33" s="9" t="inlineStr">
        <is>
          <t>Zebra GK420d</t>
        </is>
      </c>
      <c r="F33" s="10" t="n">
        <v>1</v>
      </c>
      <c r="G33" s="9" t="n"/>
      <c r="H33" s="9" t="n"/>
      <c r="I33" s="77" t="n"/>
      <c r="J33" s="9" t="inlineStr">
        <is>
          <t>IT</t>
        </is>
      </c>
      <c r="K33" s="9" t="n"/>
      <c r="L33" s="43">
        <f>IF(Table2[[#This Row],[Date]]&lt;&gt;0,"Stock In"," ")</f>
        <v/>
      </c>
      <c r="Z33" s="6" t="inlineStr">
        <is>
          <t>RAM -DDR4</t>
        </is>
      </c>
      <c r="AA33" s="7">
        <f>SUMIF($C$6:$C$99571,Z33,$F$6:$F$99571)</f>
        <v/>
      </c>
      <c r="AB33" s="7">
        <f>SUMIF($O$6:$O$99505,Z33,$R$6:$R$99505)</f>
        <v/>
      </c>
      <c r="AC33" s="81">
        <f>AA33-AB33</f>
        <v/>
      </c>
      <c r="AD33" s="17">
        <f>VLOOKUP(Z33,Table1[[#All],[Product Name]:[Critical Levels]],5,0)</f>
        <v/>
      </c>
      <c r="AE33" s="17">
        <f>VLOOKUP(Z33,Table1[[#All],[Product Name]:[Critical Levels]],6,0)</f>
        <v/>
      </c>
      <c r="AG33" s="23">
        <f>IF(AC33&lt;=AE33, "Critical", IF(AC33&lt;=AD33, "Low", " "))</f>
        <v/>
      </c>
      <c r="AH33" s="23">
        <f>AD33</f>
        <v/>
      </c>
    </row>
    <row r="34" ht="15" customHeight="1" s="64">
      <c r="B34" s="8" t="n">
        <v>46081</v>
      </c>
      <c r="C34" s="9" t="inlineStr">
        <is>
          <t>Label Printers</t>
        </is>
      </c>
      <c r="D34" s="11" t="inlineStr">
        <is>
          <t>D4J244908462</t>
        </is>
      </c>
      <c r="E34" s="9" t="inlineStr">
        <is>
          <t>Zebra ZD230</t>
        </is>
      </c>
      <c r="F34" s="10" t="n">
        <v>1</v>
      </c>
      <c r="G34" s="9" t="n"/>
      <c r="H34" s="9" t="n"/>
      <c r="I34" s="77" t="n"/>
      <c r="J34" s="9" t="inlineStr">
        <is>
          <t>IT</t>
        </is>
      </c>
      <c r="K34" s="9" t="n"/>
      <c r="L34" s="43">
        <f>IF(Table2[[#This Row],[Date]]&lt;&gt;0,"Stock In"," ")</f>
        <v/>
      </c>
      <c r="Z34" s="6" t="inlineStr">
        <is>
          <t>RAM -DDR5</t>
        </is>
      </c>
      <c r="AA34" s="7">
        <f>SUMIF($C$6:$C$99571,Z34,$F$6:$F$99571)</f>
        <v/>
      </c>
      <c r="AB34" s="7">
        <f>SUMIF($O$6:$O$99505,Z34,$R$6:$R$99505)</f>
        <v/>
      </c>
      <c r="AC34" s="81">
        <f>AA34-AB34</f>
        <v/>
      </c>
      <c r="AD34" s="17">
        <f>VLOOKUP(Z34,Table1[[#All],[Product Name]:[Critical Levels]],5,0)</f>
        <v/>
      </c>
      <c r="AE34" s="17">
        <f>VLOOKUP(Z34,Table1[[#All],[Product Name]:[Critical Levels]],6,0)</f>
        <v/>
      </c>
      <c r="AG34" s="23">
        <f>IF(AC34&lt;=AE34, "Critical", IF(AC34&lt;=AD34, "Low", " "))</f>
        <v/>
      </c>
      <c r="AH34" s="23">
        <f>AD34</f>
        <v/>
      </c>
    </row>
    <row r="35" ht="15" customHeight="1" s="64">
      <c r="B35" s="8" t="n">
        <v>46081</v>
      </c>
      <c r="C35" s="9" t="inlineStr">
        <is>
          <t>Label Printers</t>
        </is>
      </c>
      <c r="D35" s="12" t="inlineStr">
        <is>
          <t>29J173600158</t>
        </is>
      </c>
      <c r="E35" s="9" t="inlineStr">
        <is>
          <t>Zebra GK420t</t>
        </is>
      </c>
      <c r="F35" s="10" t="n">
        <v>1</v>
      </c>
      <c r="G35" s="9" t="n"/>
      <c r="H35" s="9" t="n"/>
      <c r="I35" s="77" t="n"/>
      <c r="J35" s="9" t="inlineStr">
        <is>
          <t>IT</t>
        </is>
      </c>
      <c r="K35" s="9" t="n"/>
      <c r="L35" s="43">
        <f>IF(Table2[[#This Row],[Date]]&lt;&gt;0,"Stock In"," ")</f>
        <v/>
      </c>
      <c r="Z35" s="6" t="inlineStr">
        <is>
          <t>RJ45 Boots</t>
        </is>
      </c>
      <c r="AA35" s="7">
        <f>SUMIF($C$6:$C$99571,Z35,$F$6:$F$99571)</f>
        <v/>
      </c>
      <c r="AB35" s="7">
        <f>SUMIF($O$6:$O$99505,Z35,$R$6:$R$99505)</f>
        <v/>
      </c>
      <c r="AC35" s="81">
        <f>AA35-AB35</f>
        <v/>
      </c>
      <c r="AD35" s="17">
        <f>VLOOKUP(Z35,Table1[[#All],[Product Name]:[Critical Levels]],5,0)</f>
        <v/>
      </c>
      <c r="AE35" s="17">
        <f>VLOOKUP(Z35,Table1[[#All],[Product Name]:[Critical Levels]],6,0)</f>
        <v/>
      </c>
      <c r="AG35" s="23">
        <f>IF(AC35&lt;=AE35, "Critical", IF(AC35&lt;=AD35, "Low", " "))</f>
        <v/>
      </c>
      <c r="AH35" s="23">
        <f>AD35</f>
        <v/>
      </c>
    </row>
    <row r="36" ht="15" customHeight="1" s="64">
      <c r="B36" s="8" t="n">
        <v>46081</v>
      </c>
      <c r="C36" s="9" t="inlineStr">
        <is>
          <t>Label Printers</t>
        </is>
      </c>
      <c r="D36" s="12" t="inlineStr">
        <is>
          <t>29J220201551</t>
        </is>
      </c>
      <c r="E36" s="9" t="inlineStr">
        <is>
          <t>Zebra GK420t</t>
        </is>
      </c>
      <c r="F36" s="10" t="n">
        <v>1</v>
      </c>
      <c r="G36" s="9" t="n"/>
      <c r="H36" s="9" t="n"/>
      <c r="I36" s="77" t="n"/>
      <c r="J36" s="9" t="inlineStr">
        <is>
          <t>IT</t>
        </is>
      </c>
      <c r="K36" s="9" t="n"/>
      <c r="L36" s="43">
        <f>IF(Table2[[#This Row],[Date]]&lt;&gt;0,"Stock In"," ")</f>
        <v/>
      </c>
      <c r="Z36" s="6" t="inlineStr">
        <is>
          <t>RJ45 Plugs</t>
        </is>
      </c>
      <c r="AA36" s="7">
        <f>SUMIF($C$6:$C$99571,Z36,$F$6:$F$99571)</f>
        <v/>
      </c>
      <c r="AB36" s="7">
        <f>SUMIF($O$6:$O$99505,Z36,$R$6:$R$99505)</f>
        <v/>
      </c>
      <c r="AC36" s="81">
        <f>AA36-AB36</f>
        <v/>
      </c>
      <c r="AD36" s="17">
        <f>VLOOKUP(Z36,Table1[[#All],[Product Name]:[Critical Levels]],5,0)</f>
        <v/>
      </c>
      <c r="AE36" s="17">
        <f>VLOOKUP(Z36,Table1[[#All],[Product Name]:[Critical Levels]],6,0)</f>
        <v/>
      </c>
      <c r="AG36" s="23">
        <f>IF(AC36&lt;=AE36, "Critical", IF(AC36&lt;=AD36, "Low", " "))</f>
        <v/>
      </c>
      <c r="AH36" s="23">
        <f>AD36</f>
        <v/>
      </c>
    </row>
    <row r="37" ht="15" customHeight="1" s="64">
      <c r="B37" s="8" t="n">
        <v>46081</v>
      </c>
      <c r="C37" s="9" t="inlineStr">
        <is>
          <t>M Class Printers</t>
        </is>
      </c>
      <c r="D37" s="12" t="n">
        <v>72066305</v>
      </c>
      <c r="E37" s="9" t="inlineStr">
        <is>
          <t>Datamax o Neil II</t>
        </is>
      </c>
      <c r="F37" s="10" t="n">
        <v>1</v>
      </c>
      <c r="G37" s="9" t="n"/>
      <c r="H37" s="9" t="n"/>
      <c r="I37" s="77" t="n"/>
      <c r="J37" s="9" t="inlineStr">
        <is>
          <t>IT</t>
        </is>
      </c>
      <c r="K37" s="9" t="n"/>
      <c r="L37" s="43">
        <f>IF(Table2[[#This Row],[Date]]&lt;&gt;0,"Stock In"," ")</f>
        <v/>
      </c>
      <c r="Z37" s="6" t="inlineStr">
        <is>
          <t>SFP Multi-mode Modules</t>
        </is>
      </c>
      <c r="AA37" s="7">
        <f>SUMIF($C$6:$C$99571,Z37,$F$6:$F$99571)</f>
        <v/>
      </c>
      <c r="AB37" s="7">
        <f>SUMIF($O$6:$O$99505,Z37,$R$6:$R$99505)</f>
        <v/>
      </c>
      <c r="AC37" s="81">
        <f>AA37-AB37</f>
        <v/>
      </c>
      <c r="AD37" s="17">
        <f>VLOOKUP(Z37,Table1[[#All],[Product Name]:[Critical Levels]],5,0)</f>
        <v/>
      </c>
      <c r="AE37" s="17">
        <f>VLOOKUP(Z37,Table1[[#All],[Product Name]:[Critical Levels]],6,0)</f>
        <v/>
      </c>
      <c r="AG37" s="23">
        <f>IF(AC37&lt;=AE37, "Critical", IF(AC37&lt;=AD37, "Low", " "))</f>
        <v/>
      </c>
      <c r="AH37" s="23">
        <f>AD37</f>
        <v/>
      </c>
    </row>
    <row r="38" ht="15" customHeight="1" s="64">
      <c r="B38" s="8" t="n">
        <v>46081</v>
      </c>
      <c r="C38" s="9" t="inlineStr">
        <is>
          <t>M Class Printers</t>
        </is>
      </c>
      <c r="D38" s="12" t="n">
        <v>94846032</v>
      </c>
      <c r="E38" s="9" t="inlineStr">
        <is>
          <t>Datamax o Neil II</t>
        </is>
      </c>
      <c r="F38" s="10" t="n">
        <v>1</v>
      </c>
      <c r="G38" s="9" t="n"/>
      <c r="H38" s="9" t="n"/>
      <c r="I38" s="77" t="n"/>
      <c r="J38" s="9" t="inlineStr">
        <is>
          <t>IT</t>
        </is>
      </c>
      <c r="K38" s="9" t="n"/>
      <c r="L38" s="43">
        <f>IF(Table2[[#This Row],[Date]]&lt;&gt;0,"Stock In"," ")</f>
        <v/>
      </c>
      <c r="Z38" s="6" t="inlineStr">
        <is>
          <t>SFP Single-mode Modules</t>
        </is>
      </c>
      <c r="AA38" s="7">
        <f>SUMIF($C$6:$C$99571,Z38,$F$6:$F$99571)</f>
        <v/>
      </c>
      <c r="AB38" s="7">
        <f>SUMIF($O$6:$O$99505,Z38,$R$6:$R$99505)</f>
        <v/>
      </c>
      <c r="AC38" s="81">
        <f>AA38-AB38</f>
        <v/>
      </c>
      <c r="AD38" s="17">
        <f>VLOOKUP(Z38,Table1[[#All],[Product Name]:[Critical Levels]],5,0)</f>
        <v/>
      </c>
      <c r="AE38" s="17">
        <f>VLOOKUP(Z38,Table1[[#All],[Product Name]:[Critical Levels]],6,0)</f>
        <v/>
      </c>
      <c r="AG38" s="23">
        <f>IF(AC38&lt;=AE38, "Critical", IF(AC38&lt;=AD38, "Low", " "))</f>
        <v/>
      </c>
      <c r="AH38" s="23">
        <f>AD38</f>
        <v/>
      </c>
    </row>
    <row r="39" ht="15" customHeight="1" s="64">
      <c r="B39" s="8" t="n">
        <v>46081</v>
      </c>
      <c r="C39" s="9" t="inlineStr">
        <is>
          <t>MM Stations</t>
        </is>
      </c>
      <c r="D39" s="12" t="inlineStr">
        <is>
          <t>PJ250117171</t>
        </is>
      </c>
      <c r="E39" s="9" t="n"/>
      <c r="F39" s="10" t="n">
        <v>1</v>
      </c>
      <c r="G39" s="9" t="n"/>
      <c r="H39" s="9" t="n"/>
      <c r="I39" s="77" t="n"/>
      <c r="J39" s="9" t="inlineStr">
        <is>
          <t>IT</t>
        </is>
      </c>
      <c r="K39" s="9" t="n"/>
      <c r="L39" s="43">
        <f>IF(Table2[[#This Row],[Date]]&lt;&gt;0,"Stock In"," ")</f>
        <v/>
      </c>
      <c r="Z39" s="6" t="inlineStr">
        <is>
          <t>Switch - Unmanaged</t>
        </is>
      </c>
      <c r="AA39" s="7">
        <f>SUMIF($C$6:$C$99571,Z39,$F$6:$F$99571)</f>
        <v/>
      </c>
      <c r="AB39" s="7">
        <f>SUMIF($O$6:$O$99505,Z39,$R$6:$R$99505)</f>
        <v/>
      </c>
      <c r="AC39" s="81">
        <f>AA39-AB39</f>
        <v/>
      </c>
      <c r="AD39" s="17">
        <f>VLOOKUP(Z39,Table1[[#All],[Product Name]:[Critical Levels]],5,0)</f>
        <v/>
      </c>
      <c r="AE39" s="17">
        <f>VLOOKUP(Z39,Table1[[#All],[Product Name]:[Critical Levels]],6,0)</f>
        <v/>
      </c>
      <c r="AG39" s="23">
        <f>IF(AC39&lt;=AE39, "Critical", IF(AC39&lt;=AD39, "Low", " "))</f>
        <v/>
      </c>
      <c r="AH39" s="23">
        <f>AD39</f>
        <v/>
      </c>
    </row>
    <row r="40" ht="15" customHeight="1" s="64">
      <c r="B40" s="8" t="n">
        <v>46081</v>
      </c>
      <c r="C40" s="9" t="inlineStr">
        <is>
          <t>MM Stations</t>
        </is>
      </c>
      <c r="D40" s="12" t="inlineStr">
        <is>
          <t>PJ250117027</t>
        </is>
      </c>
      <c r="E40" s="9" t="n"/>
      <c r="F40" s="10" t="n">
        <v>1</v>
      </c>
      <c r="G40" s="9" t="n"/>
      <c r="H40" s="9" t="n"/>
      <c r="I40" s="77" t="n"/>
      <c r="J40" s="9" t="inlineStr">
        <is>
          <t>IT</t>
        </is>
      </c>
      <c r="K40" s="9" t="n"/>
      <c r="L40" s="43">
        <f>IF(Table2[[#This Row],[Date]]&lt;&gt;0,"Stock In"," ")</f>
        <v/>
      </c>
      <c r="Z40" s="6" t="inlineStr">
        <is>
          <t>Toners - Kyocera 3212</t>
        </is>
      </c>
      <c r="AA40" s="7">
        <f>SUMIF($C$6:$C$99571,Z40,$F$6:$F$99571)</f>
        <v/>
      </c>
      <c r="AB40" s="7">
        <f>SUMIF($O$6:$O$99505,Z40,$R$6:$R$99505)</f>
        <v/>
      </c>
      <c r="AC40" s="81">
        <f>AA40-AB40</f>
        <v/>
      </c>
      <c r="AD40" s="17">
        <f>VLOOKUP(Z40,Table1[[#All],[Product Name]:[Critical Levels]],5,0)</f>
        <v/>
      </c>
      <c r="AE40" s="17">
        <f>VLOOKUP(Z40,Table1[[#All],[Product Name]:[Critical Levels]],6,0)</f>
        <v/>
      </c>
      <c r="AG40" s="23">
        <f>IF(AC40&lt;=AE40, "Critical", IF(AC40&lt;=AD40, "Low", " "))</f>
        <v/>
      </c>
      <c r="AH40" s="23">
        <f>AD40</f>
        <v/>
      </c>
    </row>
    <row r="41" ht="15" customHeight="1" s="64">
      <c r="B41" s="8" t="n">
        <v>46081</v>
      </c>
      <c r="C41" s="9" t="inlineStr">
        <is>
          <t>MM Stations</t>
        </is>
      </c>
      <c r="D41" s="12" t="inlineStr">
        <is>
          <t>PJ250117028</t>
        </is>
      </c>
      <c r="E41" s="9" t="n"/>
      <c r="F41" s="10" t="n">
        <v>1</v>
      </c>
      <c r="G41" s="9" t="n"/>
      <c r="H41" s="9" t="n"/>
      <c r="I41" s="77" t="n"/>
      <c r="J41" s="9" t="inlineStr">
        <is>
          <t>IT</t>
        </is>
      </c>
      <c r="K41" s="9" t="n"/>
      <c r="L41" s="43">
        <f>IF(Table2[[#This Row],[Date]]&lt;&gt;0,"Stock In"," ")</f>
        <v/>
      </c>
      <c r="Z41" s="6" t="inlineStr">
        <is>
          <t>Toners - Kyocera 4012</t>
        </is>
      </c>
      <c r="AA41" s="7">
        <f>SUMIF($C$6:$C$99571,Z41,$F$6:$F$99571)</f>
        <v/>
      </c>
      <c r="AB41" s="7">
        <f>SUMIF($O$6:$O$99505,Z41,$R$6:$R$99505)</f>
        <v/>
      </c>
      <c r="AC41" s="81">
        <f>AA41-AB41</f>
        <v/>
      </c>
      <c r="AD41" s="17">
        <f>VLOOKUP(Z41,Table1[[#All],[Product Name]:[Critical Levels]],5,0)</f>
        <v/>
      </c>
      <c r="AE41" s="17">
        <f>VLOOKUP(Z41,Table1[[#All],[Product Name]:[Critical Levels]],6,0)</f>
        <v/>
      </c>
      <c r="AG41" s="23">
        <f>IF(AC41&lt;=AE41, "Critical", IF(AC41&lt;=AD41, "Low", " "))</f>
        <v/>
      </c>
      <c r="AH41" s="23">
        <f>AD41</f>
        <v/>
      </c>
    </row>
    <row r="42" ht="15" customHeight="1" s="64">
      <c r="B42" s="8" t="n">
        <v>46081</v>
      </c>
      <c r="C42" s="9" t="inlineStr">
        <is>
          <t>MM Stations</t>
        </is>
      </c>
      <c r="D42" s="12" t="inlineStr">
        <is>
          <t>PJ240920028</t>
        </is>
      </c>
      <c r="E42" s="9" t="n"/>
      <c r="F42" s="10" t="n">
        <v>1</v>
      </c>
      <c r="G42" s="9" t="n"/>
      <c r="H42" s="9" t="n"/>
      <c r="I42" s="77" t="n"/>
      <c r="J42" s="9" t="inlineStr">
        <is>
          <t>IT</t>
        </is>
      </c>
      <c r="K42" s="9" t="n"/>
      <c r="L42" s="43">
        <f>IF(Table2[[#This Row],[Date]]&lt;&gt;0,"Stock In"," ")</f>
        <v/>
      </c>
      <c r="Z42" s="6" t="inlineStr">
        <is>
          <t>Toners - MA4500ix</t>
        </is>
      </c>
      <c r="AA42" s="7">
        <f>SUMIF($C$6:$C$99571,Z42,$F$6:$F$99571)</f>
        <v/>
      </c>
      <c r="AB42" s="7">
        <f>SUMIF($O$6:$O$99505,Z42,$R$6:$R$99505)</f>
        <v/>
      </c>
      <c r="AC42" s="81">
        <f>AA42-AB42</f>
        <v/>
      </c>
      <c r="AD42" s="17">
        <f>VLOOKUP(Z42,Table1[[#All],[Product Name]:[Critical Levels]],5,0)</f>
        <v/>
      </c>
      <c r="AE42" s="17">
        <f>VLOOKUP(Z42,Table1[[#All],[Product Name]:[Critical Levels]],6,0)</f>
        <v/>
      </c>
      <c r="AG42" s="23">
        <f>IF(AC42&lt;=AE42, "Critical", IF(AC42&lt;=AD42, "Low", " "))</f>
        <v/>
      </c>
      <c r="AH42" s="23">
        <f>AD42</f>
        <v/>
      </c>
    </row>
    <row r="43" ht="15" customHeight="1" s="64">
      <c r="B43" s="8" t="n">
        <v>46081</v>
      </c>
      <c r="C43" s="9" t="inlineStr">
        <is>
          <t>MM Stations</t>
        </is>
      </c>
      <c r="D43" s="12" t="inlineStr">
        <is>
          <t>PJ250117029</t>
        </is>
      </c>
      <c r="E43" s="9" t="n"/>
      <c r="F43" s="10" t="n">
        <v>1</v>
      </c>
      <c r="G43" s="9" t="n"/>
      <c r="H43" s="9" t="n"/>
      <c r="I43" s="77" t="n"/>
      <c r="J43" s="9" t="inlineStr">
        <is>
          <t>IT</t>
        </is>
      </c>
      <c r="K43" s="9" t="n"/>
      <c r="L43" s="43">
        <f>IF(Table2[[#This Row],[Date]]&lt;&gt;0,"Stock In"," ")</f>
        <v/>
      </c>
      <c r="Z43" s="6" t="inlineStr">
        <is>
          <t>Toners - Olivetti C2335</t>
        </is>
      </c>
      <c r="AA43" s="7">
        <f>SUMIF($C$6:$C$99571,Z43,$F$6:$F$99571)</f>
        <v/>
      </c>
      <c r="AB43" s="7">
        <f>SUMIF($O$6:$O$99505,Z43,$R$6:$R$99505)</f>
        <v/>
      </c>
      <c r="AC43" s="81">
        <f>AA43-AB43</f>
        <v/>
      </c>
      <c r="AD43" s="17">
        <f>VLOOKUP(Z43,Table1[[#All],[Product Name]:[Critical Levels]],5,0)</f>
        <v/>
      </c>
      <c r="AE43" s="17">
        <f>VLOOKUP(Z43,Table1[[#All],[Product Name]:[Critical Levels]],6,0)</f>
        <v/>
      </c>
      <c r="AG43" s="23">
        <f>IF(AC43&lt;=AE43, "Critical", IF(AC43&lt;=AD43, "Low", " "))</f>
        <v/>
      </c>
      <c r="AH43" s="23">
        <f>AD43</f>
        <v/>
      </c>
    </row>
    <row r="44" ht="15" customHeight="1" s="64">
      <c r="B44" s="8" t="n">
        <v>46081</v>
      </c>
      <c r="C44" s="9" t="inlineStr">
        <is>
          <t>MM Stations</t>
        </is>
      </c>
      <c r="D44" s="12" t="inlineStr">
        <is>
          <t>PJ250117176</t>
        </is>
      </c>
      <c r="E44" s="9" t="n"/>
      <c r="F44" s="10" t="n">
        <v>1</v>
      </c>
      <c r="G44" s="9" t="n"/>
      <c r="H44" s="9" t="n"/>
      <c r="I44" s="77" t="n"/>
      <c r="J44" s="9" t="inlineStr">
        <is>
          <t>IT</t>
        </is>
      </c>
      <c r="K44" s="9" t="n"/>
      <c r="L44" s="43">
        <f>IF(Table2[[#This Row],[Date]]&lt;&gt;0,"Stock In"," ")</f>
        <v/>
      </c>
      <c r="Z44" s="6" t="inlineStr">
        <is>
          <t>Turnstile Relays</t>
        </is>
      </c>
      <c r="AA44" s="7">
        <f>SUMIF($C$6:$C$99571,Z44,$F$6:$F$99571)</f>
        <v/>
      </c>
      <c r="AB44" s="7">
        <f>SUMIF($O$6:$O$99505,Z44,$R$6:$R$99505)</f>
        <v/>
      </c>
      <c r="AC44" s="81">
        <f>AA44-AB44</f>
        <v/>
      </c>
      <c r="AD44" s="17">
        <f>VLOOKUP(Z44,Table1[[#All],[Product Name]:[Critical Levels]],5,0)</f>
        <v/>
      </c>
      <c r="AE44" s="17">
        <f>VLOOKUP(Z44,Table1[[#All],[Product Name]:[Critical Levels]],6,0)</f>
        <v/>
      </c>
      <c r="AG44" s="23">
        <f>IF(AC44&lt;=AE44, "Critical", IF(AC44&lt;=AD44, "Low", " "))</f>
        <v/>
      </c>
      <c r="AH44" s="23">
        <f>AD44</f>
        <v/>
      </c>
    </row>
    <row r="45" ht="15" customHeight="1" s="64">
      <c r="B45" s="8" t="n">
        <v>46081</v>
      </c>
      <c r="C45" s="9" t="inlineStr">
        <is>
          <t>MM Stations</t>
        </is>
      </c>
      <c r="D45" s="12" t="inlineStr">
        <is>
          <t>PJ250117126</t>
        </is>
      </c>
      <c r="E45" s="9" t="n"/>
      <c r="F45" s="10" t="n">
        <v>1</v>
      </c>
      <c r="G45" s="9" t="n"/>
      <c r="H45" s="9" t="n"/>
      <c r="I45" s="77" t="n"/>
      <c r="J45" s="9" t="inlineStr">
        <is>
          <t>IT</t>
        </is>
      </c>
      <c r="K45" s="9" t="n"/>
      <c r="L45" s="43">
        <f>IF(Table2[[#This Row],[Date]]&lt;&gt;0,"Stock In"," ")</f>
        <v/>
      </c>
      <c r="Z45" s="6" t="inlineStr">
        <is>
          <t>Type B Cell Chargers</t>
        </is>
      </c>
      <c r="AA45" s="7">
        <f>SUMIF($C$6:$C$99571,Z45,$F$6:$F$99571)</f>
        <v/>
      </c>
      <c r="AB45" s="7">
        <f>SUMIF($O$6:$O$99505,Z45,$R$6:$R$99505)</f>
        <v/>
      </c>
      <c r="AC45" s="81">
        <f>AA45-AB45</f>
        <v/>
      </c>
      <c r="AD45" s="17">
        <f>VLOOKUP(Z45,Table1[[#All],[Product Name]:[Critical Levels]],5,0)</f>
        <v/>
      </c>
      <c r="AE45" s="17">
        <f>VLOOKUP(Z45,Table1[[#All],[Product Name]:[Critical Levels]],6,0)</f>
        <v/>
      </c>
      <c r="AG45" s="23">
        <f>IF(AC45&lt;=AE45, "Critical", IF(AC45&lt;=AD45, "Low", " "))</f>
        <v/>
      </c>
      <c r="AH45" s="23">
        <f>AD45</f>
        <v/>
      </c>
    </row>
    <row r="46" ht="15" customHeight="1" s="64">
      <c r="B46" s="8" t="n">
        <v>46081</v>
      </c>
      <c r="C46" s="9" t="inlineStr">
        <is>
          <t>Desktops</t>
        </is>
      </c>
      <c r="D46" s="12" t="inlineStr">
        <is>
          <t>7YKPJB4</t>
        </is>
      </c>
      <c r="F46" s="10" t="n">
        <v>1</v>
      </c>
      <c r="G46" s="9" t="n"/>
      <c r="H46" s="9" t="n"/>
      <c r="I46" s="77" t="n"/>
      <c r="J46" s="9" t="inlineStr">
        <is>
          <t>IT</t>
        </is>
      </c>
      <c r="K46" s="9" t="n"/>
      <c r="L46" s="43">
        <f>IF(Table2[[#This Row],[Date]]&lt;&gt;0,"Stock In"," ")</f>
        <v/>
      </c>
      <c r="Z46" s="6" t="inlineStr">
        <is>
          <t>Type C Cell Chargers</t>
        </is>
      </c>
      <c r="AA46" s="7">
        <f>SUMIF($C$6:$C$99571,Z46,$F$6:$F$99571)</f>
        <v/>
      </c>
      <c r="AB46" s="7">
        <f>SUMIF($O$6:$O$99505,Z46,$R$6:$R$99505)</f>
        <v/>
      </c>
      <c r="AC46" s="81">
        <f>AA46-AB46</f>
        <v/>
      </c>
      <c r="AD46" s="17">
        <f>VLOOKUP(Z46,Table1[[#All],[Product Name]:[Critical Levels]],5,0)</f>
        <v/>
      </c>
      <c r="AE46" s="17">
        <f>VLOOKUP(Z46,Table1[[#All],[Product Name]:[Critical Levels]],6,0)</f>
        <v/>
      </c>
      <c r="AG46" s="23">
        <f>IF(AC46&lt;=AE46, "Critical", IF(AC46&lt;=AD46, "Low", " "))</f>
        <v/>
      </c>
      <c r="AH46" s="23">
        <f>AD46</f>
        <v/>
      </c>
    </row>
    <row r="47" ht="15" customHeight="1" s="64">
      <c r="B47" s="8" t="n">
        <v>46081</v>
      </c>
      <c r="C47" s="9" t="inlineStr">
        <is>
          <t>Desktops</t>
        </is>
      </c>
      <c r="D47" s="12" t="inlineStr">
        <is>
          <t>4CE908042Z</t>
        </is>
      </c>
      <c r="E47" s="9" t="n"/>
      <c r="F47" s="10" t="n">
        <v>1</v>
      </c>
      <c r="G47" s="9" t="n"/>
      <c r="H47" s="9" t="n"/>
      <c r="I47" s="77" t="n"/>
      <c r="J47" s="9" t="inlineStr">
        <is>
          <t>IT</t>
        </is>
      </c>
      <c r="K47" s="9" t="n"/>
      <c r="L47" s="43">
        <f>IF(Table2[[#This Row],[Date]]&lt;&gt;0,"Stock In"," ")</f>
        <v/>
      </c>
      <c r="Z47" s="6" t="inlineStr">
        <is>
          <t>UBNT Nano Stations</t>
        </is>
      </c>
      <c r="AA47" s="7">
        <f>SUMIF($C$6:$C$99571,Z47,$F$6:$F$99571)</f>
        <v/>
      </c>
      <c r="AB47" s="7">
        <f>SUMIF($O$6:$O$99505,Z47,$R$6:$R$99505)</f>
        <v/>
      </c>
      <c r="AC47" s="81">
        <f>AA47-AB47</f>
        <v/>
      </c>
      <c r="AD47" s="17">
        <f>VLOOKUP(Z47,Table1[[#All],[Product Name]:[Critical Levels]],5,0)</f>
        <v/>
      </c>
      <c r="AE47" s="17">
        <f>VLOOKUP(Z47,Table1[[#All],[Product Name]:[Critical Levels]],6,0)</f>
        <v/>
      </c>
      <c r="AG47" s="23">
        <f>IF(AC47&lt;=AE47, "Critical", IF(AC47&lt;=AD47, "Low", " "))</f>
        <v/>
      </c>
      <c r="AH47" s="23">
        <f>AD47</f>
        <v/>
      </c>
    </row>
    <row r="48" ht="15" customHeight="1" s="64">
      <c r="B48" s="8" t="n">
        <v>46081</v>
      </c>
      <c r="C48" s="9" t="inlineStr">
        <is>
          <t>Android Scanners</t>
        </is>
      </c>
      <c r="D48" s="12" t="inlineStr">
        <is>
          <t>FG1197D007772</t>
        </is>
      </c>
      <c r="E48" s="9" t="inlineStr">
        <is>
          <t>Ciperlab</t>
        </is>
      </c>
      <c r="F48" s="10" t="n">
        <v>1</v>
      </c>
      <c r="G48" s="9" t="n"/>
      <c r="H48" s="9" t="n"/>
      <c r="I48" s="77" t="n"/>
      <c r="J48" s="9" t="inlineStr">
        <is>
          <t>IT</t>
        </is>
      </c>
      <c r="K48" s="9" t="n"/>
      <c r="L48" s="43">
        <f>IF(Table2[[#This Row],[Date]]&lt;&gt;0,"Stock In"," ")</f>
        <v/>
      </c>
      <c r="Z48" s="6" t="inlineStr">
        <is>
          <t>UPS - Desktop</t>
        </is>
      </c>
      <c r="AA48" s="7">
        <f>SUMIF($C$6:$C$99571,Z48,$F$6:$F$99571)</f>
        <v/>
      </c>
      <c r="AB48" s="7">
        <f>SUMIF($O$6:$O$99505,Z48,$R$6:$R$99505)</f>
        <v/>
      </c>
      <c r="AC48" s="81">
        <f>AA48-AB48</f>
        <v/>
      </c>
      <c r="AD48" s="17">
        <f>VLOOKUP(Z48,Table1[[#All],[Product Name]:[Critical Levels]],5,0)</f>
        <v/>
      </c>
      <c r="AE48" s="17">
        <f>VLOOKUP(Z48,Table1[[#All],[Product Name]:[Critical Levels]],6,0)</f>
        <v/>
      </c>
      <c r="AG48" s="23">
        <f>IF(AC48&lt;=AE48, "Critical", IF(AC48&lt;=AD48, "Low", " "))</f>
        <v/>
      </c>
      <c r="AH48" s="23">
        <f>AD48</f>
        <v/>
      </c>
    </row>
    <row r="49" ht="15" customHeight="1" s="64">
      <c r="B49" s="8" t="n">
        <v>46081</v>
      </c>
      <c r="C49" s="9" t="inlineStr">
        <is>
          <t>Android Scanners</t>
        </is>
      </c>
      <c r="D49" s="12" t="inlineStr">
        <is>
          <t>FW12180000578</t>
        </is>
      </c>
      <c r="E49" s="9" t="inlineStr">
        <is>
          <t>Ciperlab</t>
        </is>
      </c>
      <c r="F49" s="10" t="n">
        <v>1</v>
      </c>
      <c r="G49" s="9" t="n"/>
      <c r="H49" s="9" t="n"/>
      <c r="I49" s="77" t="n"/>
      <c r="J49" s="9" t="inlineStr">
        <is>
          <t>IT</t>
        </is>
      </c>
      <c r="K49" s="9" t="n"/>
      <c r="L49" s="43">
        <f>IF(Table2[[#This Row],[Date]]&lt;&gt;0,"Stock In"," ")</f>
        <v/>
      </c>
      <c r="Z49" s="6" t="inlineStr">
        <is>
          <t>UPS - 12v</t>
        </is>
      </c>
      <c r="AA49" s="7">
        <f>SUMIF($C$6:$C$99571,Z49,$F$6:$F$99571)</f>
        <v/>
      </c>
      <c r="AB49" s="7">
        <f>SUMIF($O$6:$O$99505,Z49,$R$6:$R$99505)</f>
        <v/>
      </c>
      <c r="AC49" s="81">
        <f>AA49-AB49</f>
        <v/>
      </c>
      <c r="AD49" s="17">
        <f>VLOOKUP(Z49,Table1[[#All],[Product Name]:[Critical Levels]],5,0)</f>
        <v/>
      </c>
      <c r="AE49" s="17">
        <f>VLOOKUP(Z49,Table1[[#All],[Product Name]:[Critical Levels]],6,0)</f>
        <v/>
      </c>
      <c r="AG49" s="23">
        <f>IF(AC49&lt;=AE49, "Critical", IF(AC49&lt;=AD49, "Low", " "))</f>
        <v/>
      </c>
      <c r="AH49" s="23">
        <f>AD49</f>
        <v/>
      </c>
    </row>
    <row r="50" ht="15" customHeight="1" s="64">
      <c r="B50" s="8" t="n">
        <v>46081</v>
      </c>
      <c r="C50" s="9" t="inlineStr">
        <is>
          <t>USB Wi-Fi Dongle</t>
        </is>
      </c>
      <c r="D50" s="12" t="n"/>
      <c r="E50" s="9" t="n"/>
      <c r="F50" s="10" t="n">
        <v>1</v>
      </c>
      <c r="G50" s="9" t="n"/>
      <c r="H50" s="9" t="n"/>
      <c r="I50" s="77" t="n"/>
      <c r="J50" s="9" t="inlineStr">
        <is>
          <t>IT</t>
        </is>
      </c>
      <c r="K50" s="9" t="n"/>
      <c r="L50" s="43">
        <f>IF(Table2[[#This Row],[Date]]&lt;&gt;0,"Stock In"," ")</f>
        <v/>
      </c>
      <c r="Z50" s="6" t="inlineStr">
        <is>
          <t>USB Hubs</t>
        </is>
      </c>
      <c r="AA50" s="7">
        <f>SUMIF($C$6:$C$99571,Z50,$F$6:$F$99571)</f>
        <v/>
      </c>
      <c r="AB50" s="7">
        <f>SUMIF($O$6:$O$99505,Z50,$R$6:$R$99505)</f>
        <v/>
      </c>
      <c r="AC50" s="81">
        <f>AA50-AB50</f>
        <v/>
      </c>
      <c r="AD50" s="17">
        <f>VLOOKUP(Z50,Table1[[#All],[Product Name]:[Critical Levels]],5,0)</f>
        <v/>
      </c>
      <c r="AE50" s="17">
        <f>VLOOKUP(Z50,Table1[[#All],[Product Name]:[Critical Levels]],6,0)</f>
        <v/>
      </c>
      <c r="AG50" s="23">
        <f>IF(AC50&lt;=AE50, "Critical", IF(AC50&lt;=AD50, "Low", " "))</f>
        <v/>
      </c>
      <c r="AH50" s="23">
        <f>AD50</f>
        <v/>
      </c>
    </row>
    <row r="51" ht="15" customHeight="1" s="64">
      <c r="B51" s="8" t="n">
        <v>46081</v>
      </c>
      <c r="C51" s="9" t="inlineStr">
        <is>
          <t>Type B Cell Chargers</t>
        </is>
      </c>
      <c r="D51" s="12" t="n"/>
      <c r="E51" s="9" t="n"/>
      <c r="F51" s="10" t="n">
        <v>2</v>
      </c>
      <c r="G51" s="9" t="n"/>
      <c r="H51" s="9" t="n"/>
      <c r="I51" s="77" t="n"/>
      <c r="J51" s="9" t="inlineStr">
        <is>
          <t>IT</t>
        </is>
      </c>
      <c r="K51" s="9" t="n"/>
      <c r="L51" s="43">
        <f>IF(Table2[[#This Row],[Date]]&lt;&gt;0,"Stock In"," ")</f>
        <v/>
      </c>
      <c r="Z51" s="6" t="inlineStr">
        <is>
          <t>USB Wi-Fi Dongle</t>
        </is>
      </c>
      <c r="AA51" s="7">
        <f>SUMIF($C$6:$C$99571,Z51,$F$6:$F$99571)</f>
        <v/>
      </c>
      <c r="AB51" s="7">
        <f>SUMIF($O$6:$O$99505,Z51,$R$6:$R$99505)</f>
        <v/>
      </c>
      <c r="AC51" s="81">
        <f>AA51-AB51</f>
        <v/>
      </c>
      <c r="AD51" s="17">
        <f>VLOOKUP(Z51,Table1[[#All],[Product Name]:[Critical Levels]],5,0)</f>
        <v/>
      </c>
      <c r="AE51" s="17">
        <f>VLOOKUP(Z51,Table1[[#All],[Product Name]:[Critical Levels]],6,0)</f>
        <v/>
      </c>
      <c r="AG51" s="23">
        <f>IF(AC51&lt;=AE51, "Critical", IF(AC51&lt;=AD51, "Low", " "))</f>
        <v/>
      </c>
      <c r="AH51" s="23">
        <f>AD51</f>
        <v/>
      </c>
    </row>
    <row r="52" ht="17.45" customHeight="1" s="64">
      <c r="B52" s="8" t="n">
        <v>46081</v>
      </c>
      <c r="C52" s="9" t="inlineStr">
        <is>
          <t>Type C Cell Chargers</t>
        </is>
      </c>
      <c r="D52" s="11" t="n"/>
      <c r="E52" s="9" t="n"/>
      <c r="F52" s="10" t="n">
        <v>3</v>
      </c>
      <c r="G52" s="9" t="n"/>
      <c r="H52" s="9" t="n"/>
      <c r="I52" s="77" t="n"/>
      <c r="J52" s="9" t="inlineStr">
        <is>
          <t>IT</t>
        </is>
      </c>
      <c r="K52" s="9" t="n"/>
      <c r="L52" s="43">
        <f>IF(Table2[[#This Row],[Date]]&lt;&gt;0,"Stock In"," ")</f>
        <v/>
      </c>
      <c r="Z52" s="6" t="inlineStr">
        <is>
          <t>WiFi Extenders</t>
        </is>
      </c>
      <c r="AA52" s="7">
        <f>SUMIF($C$6:$C$99571,Z52,$F$6:$F$99571)</f>
        <v/>
      </c>
      <c r="AB52" s="7">
        <f>SUMIF($O$6:$O$99505,Z52,$R$6:$R$99505)</f>
        <v/>
      </c>
      <c r="AC52" s="81">
        <f>AA52-AB52</f>
        <v/>
      </c>
      <c r="AD52" s="17">
        <f>VLOOKUP(Z52,Table1[[#All],[Product Name]:[Critical Levels]],5,0)</f>
        <v/>
      </c>
      <c r="AE52" s="17">
        <f>VLOOKUP(Z52,Table1[[#All],[Product Name]:[Critical Levels]],6,0)</f>
        <v/>
      </c>
      <c r="AG52" s="23">
        <f>IF(AC52&lt;=AE52, "Critical", IF(AC52&lt;=AD52, "Low", " "))</f>
        <v/>
      </c>
      <c r="AH52" s="23">
        <f>AD52</f>
        <v/>
      </c>
    </row>
    <row r="53" ht="17.45" customHeight="1" s="64">
      <c r="B53" s="8" t="n">
        <v>46081</v>
      </c>
      <c r="C53" s="9" t="inlineStr">
        <is>
          <t>UBNT Nano Stations</t>
        </is>
      </c>
      <c r="D53" s="12" t="n"/>
      <c r="E53" s="9" t="n"/>
      <c r="F53" s="10" t="n">
        <v>2</v>
      </c>
      <c r="G53" s="9" t="n"/>
      <c r="H53" s="9" t="n"/>
      <c r="I53" s="77" t="n"/>
      <c r="J53" s="9" t="inlineStr">
        <is>
          <t>IT</t>
        </is>
      </c>
      <c r="K53" s="9" t="n"/>
      <c r="L53" s="43">
        <f>IF(Table2[[#This Row],[Date]]&lt;&gt;0,"Stock In"," ")</f>
        <v/>
      </c>
      <c r="Z53" s="6" t="inlineStr">
        <is>
          <t>Wired Keyboards</t>
        </is>
      </c>
      <c r="AA53" s="7">
        <f>SUMIF($C$6:$C$99571,Z53,$F$6:$F$99571)</f>
        <v/>
      </c>
      <c r="AB53" s="7">
        <f>SUMIF($O$6:$O$99505,Z53,$R$6:$R$99505)</f>
        <v/>
      </c>
      <c r="AC53" s="81">
        <f>AA53-AB53</f>
        <v/>
      </c>
      <c r="AD53" s="17">
        <f>VLOOKUP(Z53,Table1[[#All],[Product Name]:[Critical Levels]],5,0)</f>
        <v/>
      </c>
      <c r="AE53" s="17">
        <f>VLOOKUP(Z53,Table1[[#All],[Product Name]:[Critical Levels]],6,0)</f>
        <v/>
      </c>
      <c r="AG53" s="23">
        <f>IF(AC53&lt;=AE53, "Critical", IF(AC53&lt;=AD53, "Low", " "))</f>
        <v/>
      </c>
      <c r="AH53" s="23">
        <f>AD53</f>
        <v/>
      </c>
    </row>
    <row r="54" ht="17.45" customHeight="1" s="64">
      <c r="B54" s="8" t="n">
        <v>46081</v>
      </c>
      <c r="C54" s="9" t="inlineStr">
        <is>
          <t>Turnstile Relays</t>
        </is>
      </c>
      <c r="D54" s="12" t="n"/>
      <c r="E54" s="9" t="n"/>
      <c r="F54" s="10" t="n">
        <v>3</v>
      </c>
      <c r="G54" s="9" t="n"/>
      <c r="H54" s="9" t="n"/>
      <c r="I54" s="77" t="n"/>
      <c r="J54" s="9" t="inlineStr">
        <is>
          <t>IT</t>
        </is>
      </c>
      <c r="K54" s="9" t="n"/>
      <c r="L54" s="43">
        <f>IF(Table2[[#This Row],[Date]]&lt;&gt;0,"Stock In"," ")</f>
        <v/>
      </c>
      <c r="Z54" s="6" t="inlineStr">
        <is>
          <t>Wired Keyboards &amp; Mouse Combos</t>
        </is>
      </c>
      <c r="AA54" s="7">
        <f>SUMIF($C$6:$C$99571,Z54,$F$6:$F$99571)</f>
        <v/>
      </c>
      <c r="AB54" s="7">
        <f>SUMIF($O$6:$O$99505,Z54,$R$6:$R$99505)</f>
        <v/>
      </c>
      <c r="AC54" s="81">
        <f>AA54-AB54</f>
        <v/>
      </c>
      <c r="AD54" s="17">
        <f>VLOOKUP(Z54,Table1[[#All],[Product Name]:[Critical Levels]],5,0)</f>
        <v/>
      </c>
      <c r="AE54" s="17">
        <f>VLOOKUP(Z54,Table1[[#All],[Product Name]:[Critical Levels]],6,0)</f>
        <v/>
      </c>
      <c r="AG54" s="23">
        <f>IF(AC54&lt;=AE54, "Critical", IF(AC54&lt;=AD54, "Low", " "))</f>
        <v/>
      </c>
      <c r="AH54" s="23">
        <f>AD54</f>
        <v/>
      </c>
    </row>
    <row r="55" ht="17.45" customHeight="1" s="64">
      <c r="B55" s="8" t="n">
        <v>46081</v>
      </c>
      <c r="C55" s="9" t="inlineStr">
        <is>
          <t>UPS - 12v</t>
        </is>
      </c>
      <c r="D55" s="12" t="n"/>
      <c r="E55" s="9" t="n"/>
      <c r="F55" s="10" t="n">
        <v>20</v>
      </c>
      <c r="G55" s="9" t="n"/>
      <c r="H55" s="9" t="n"/>
      <c r="I55" s="77" t="n"/>
      <c r="J55" s="9" t="inlineStr">
        <is>
          <t>IT</t>
        </is>
      </c>
      <c r="K55" s="9" t="n"/>
      <c r="L55" s="43">
        <f>IF(Table2[[#This Row],[Date]]&lt;&gt;0,"Stock In"," ")</f>
        <v/>
      </c>
      <c r="Z55" s="6" t="inlineStr">
        <is>
          <t>Wired Mouse</t>
        </is>
      </c>
      <c r="AA55" s="7">
        <f>SUMIF($C$6:$C$99571,Z55,$F$6:$F$99571)</f>
        <v/>
      </c>
      <c r="AB55" s="7">
        <f>SUMIF($O$6:$O$99505,Z55,$R$6:$R$99505)</f>
        <v/>
      </c>
      <c r="AC55" s="81">
        <f>AA55-AB55</f>
        <v/>
      </c>
      <c r="AD55" s="17">
        <f>VLOOKUP(Z55,Table1[[#All],[Product Name]:[Critical Levels]],5,0)</f>
        <v/>
      </c>
      <c r="AE55" s="17">
        <f>VLOOKUP(Z55,Table1[[#All],[Product Name]:[Critical Levels]],6,0)</f>
        <v/>
      </c>
      <c r="AG55" s="23">
        <f>IF(AC55&lt;=AE55, "Critical", IF(AC55&lt;=AD55, "Low", " "))</f>
        <v/>
      </c>
      <c r="AH55" s="23">
        <f>AD55</f>
        <v/>
      </c>
    </row>
    <row r="56" ht="17.45" customHeight="1" s="64">
      <c r="B56" s="8" t="n">
        <v>46081</v>
      </c>
      <c r="C56" s="9" t="inlineStr">
        <is>
          <t>Biometrics - VisionPass</t>
        </is>
      </c>
      <c r="D56" s="12" t="n"/>
      <c r="E56" s="9" t="n"/>
      <c r="F56" s="10" t="n">
        <v>1</v>
      </c>
      <c r="G56" s="9" t="n"/>
      <c r="H56" s="9" t="n"/>
      <c r="I56" s="77" t="n"/>
      <c r="J56" s="9" t="inlineStr">
        <is>
          <t>IT</t>
        </is>
      </c>
      <c r="K56" s="9" t="n"/>
      <c r="L56" s="43">
        <f>IF(Table2[[#This Row],[Date]]&lt;&gt;0,"Stock In"," ")</f>
        <v/>
      </c>
      <c r="Z56" s="6" t="inlineStr">
        <is>
          <t>Wireless Keyboard &amp; Mouse</t>
        </is>
      </c>
      <c r="AA56" s="7">
        <f>SUMIF($C$6:$C$99571,Z56,$F$6:$F$99571)</f>
        <v/>
      </c>
      <c r="AB56" s="7">
        <f>SUMIF($O$6:$O$99505,Z56,$R$6:$R$99505)</f>
        <v/>
      </c>
      <c r="AC56" s="81">
        <f>AA56-AB56</f>
        <v/>
      </c>
      <c r="AD56" s="17">
        <f>VLOOKUP(Z56,Table1[[#All],[Product Name]:[Critical Levels]],5,0)</f>
        <v/>
      </c>
      <c r="AE56" s="17">
        <f>VLOOKUP(Z56,Table1[[#All],[Product Name]:[Critical Levels]],6,0)</f>
        <v/>
      </c>
      <c r="AG56" s="23">
        <f>IF(AC56&lt;=AE56, "Critical", IF(AC56&lt;=AD56, "Low", " "))</f>
        <v/>
      </c>
      <c r="AH56" s="23">
        <f>AD56</f>
        <v/>
      </c>
    </row>
    <row r="57" ht="17.45" customHeight="1" s="64">
      <c r="B57" s="8" t="n">
        <v>46081</v>
      </c>
      <c r="C57" s="9" t="inlineStr">
        <is>
          <t>Laptop Bags</t>
        </is>
      </c>
      <c r="D57" s="12" t="n"/>
      <c r="E57" s="9" t="n"/>
      <c r="F57" s="10" t="n">
        <v>1</v>
      </c>
      <c r="G57" s="9" t="n"/>
      <c r="H57" s="9" t="n"/>
      <c r="I57" s="77" t="n"/>
      <c r="J57" s="9" t="inlineStr">
        <is>
          <t>IT</t>
        </is>
      </c>
      <c r="K57" s="9" t="n"/>
      <c r="L57" s="43">
        <f>IF(Table2[[#This Row],[Date]]&lt;&gt;0,"Stock In"," ")</f>
        <v/>
      </c>
      <c r="Z57" s="6" t="inlineStr">
        <is>
          <t>Wireless Mouse</t>
        </is>
      </c>
      <c r="AA57" s="7">
        <f>SUMIF($C$6:$C$99571,Z57,$F$6:$F$99571)</f>
        <v/>
      </c>
      <c r="AB57" s="7">
        <f>SUMIF($O$6:$O$99505,Z57,$R$6:$R$99505)</f>
        <v/>
      </c>
      <c r="AC57" s="81">
        <f>AA57-AB57</f>
        <v/>
      </c>
      <c r="AD57" s="17">
        <f>VLOOKUP(Z57,Table1[[#All],[Product Name]:[Critical Levels]],5,0)</f>
        <v/>
      </c>
      <c r="AE57" s="17">
        <f>VLOOKUP(Z57,Table1[[#All],[Product Name]:[Critical Levels]],6,0)</f>
        <v/>
      </c>
      <c r="AG57" s="23">
        <f>IF(AC57&lt;=AE57, "Critical", IF(AC57&lt;=AD57, "Low", " "))</f>
        <v/>
      </c>
      <c r="AH57" s="23">
        <f>AD57</f>
        <v/>
      </c>
    </row>
    <row r="58">
      <c r="B58" s="8" t="n">
        <v>46081</v>
      </c>
      <c r="C58" s="9" t="inlineStr">
        <is>
          <t>GK420T Heads</t>
        </is>
      </c>
      <c r="D58" s="12" t="n"/>
      <c r="E58" s="9" t="n"/>
      <c r="F58" s="10" t="n">
        <v>5</v>
      </c>
      <c r="G58" s="9" t="n"/>
      <c r="H58" s="9" t="n"/>
      <c r="I58" s="77" t="n"/>
      <c r="J58" s="9" t="inlineStr">
        <is>
          <t>IT</t>
        </is>
      </c>
      <c r="K58" s="9" t="n"/>
      <c r="L58" s="43">
        <f>IF(Table2[[#This Row],[Date]]&lt;&gt;0,"Stock In"," ")</f>
        <v/>
      </c>
    </row>
    <row r="59">
      <c r="B59" s="8" t="n">
        <v>46081</v>
      </c>
      <c r="C59" s="9" t="inlineStr">
        <is>
          <t>RJ45 Plugs</t>
        </is>
      </c>
      <c r="D59" s="12" t="n"/>
      <c r="E59" s="9" t="n"/>
      <c r="F59" s="10" t="n">
        <v>88</v>
      </c>
      <c r="G59" s="9" t="n"/>
      <c r="H59" s="9" t="n"/>
      <c r="I59" s="77" t="n"/>
      <c r="J59" s="9" t="inlineStr">
        <is>
          <t>IT</t>
        </is>
      </c>
      <c r="K59" s="9" t="n"/>
      <c r="L59" s="43">
        <f>IF(Table2[[#This Row],[Date]]&lt;&gt;0,"Stock In"," ")</f>
        <v/>
      </c>
    </row>
    <row r="60">
      <c r="B60" s="8" t="n">
        <v>46081</v>
      </c>
      <c r="C60" s="9" t="inlineStr">
        <is>
          <t>RJ45 Boots</t>
        </is>
      </c>
      <c r="D60" s="12" t="n"/>
      <c r="E60" s="9" t="n"/>
      <c r="F60" s="10" t="n">
        <v>13</v>
      </c>
      <c r="G60" s="9" t="n"/>
      <c r="H60" s="9" t="n"/>
      <c r="I60" s="77" t="n"/>
      <c r="J60" s="9" t="inlineStr">
        <is>
          <t>IT</t>
        </is>
      </c>
      <c r="K60" s="9" t="n"/>
      <c r="L60" s="43">
        <f>IF(Table2[[#This Row],[Date]]&lt;&gt;0,"Stock In"," ")</f>
        <v/>
      </c>
    </row>
    <row r="61">
      <c r="B61" s="8" t="n">
        <v>46081</v>
      </c>
      <c r="C61" s="9" t="inlineStr">
        <is>
          <t>Toners - Kyocera 4012</t>
        </is>
      </c>
      <c r="D61" s="12" t="n"/>
      <c r="E61" s="9" t="n"/>
      <c r="F61" s="10" t="n">
        <v>3</v>
      </c>
      <c r="G61" s="9" t="n"/>
      <c r="H61" s="9" t="n"/>
      <c r="I61" s="77" t="n"/>
      <c r="J61" s="9" t="inlineStr">
        <is>
          <t>IT</t>
        </is>
      </c>
      <c r="K61" s="9" t="n"/>
      <c r="L61" s="43">
        <f>IF(Table2[[#This Row],[Date]]&lt;&gt;0,"Stock In"," ")</f>
        <v/>
      </c>
    </row>
    <row r="62">
      <c r="B62" s="8" t="n">
        <v>46081</v>
      </c>
      <c r="C62" s="9" t="inlineStr">
        <is>
          <t>Toners - Kyocera 3212</t>
        </is>
      </c>
      <c r="D62" s="12" t="n"/>
      <c r="E62" s="9" t="n"/>
      <c r="F62" s="10" t="n">
        <v>3</v>
      </c>
      <c r="G62" s="9" t="n"/>
      <c r="H62" s="9" t="n"/>
      <c r="I62" s="77" t="n"/>
      <c r="J62" s="9" t="inlineStr">
        <is>
          <t>IT</t>
        </is>
      </c>
      <c r="K62" s="9" t="n"/>
      <c r="L62" s="43">
        <f>IF(Table2[[#This Row],[Date]]&lt;&gt;0,"Stock In"," ")</f>
        <v/>
      </c>
    </row>
    <row r="63">
      <c r="B63" s="8" t="n">
        <v>46081</v>
      </c>
      <c r="C63" s="9" t="inlineStr">
        <is>
          <t>Toners - MA4500ix</t>
        </is>
      </c>
      <c r="D63" s="12" t="n"/>
      <c r="E63" s="9" t="n"/>
      <c r="F63" s="10" t="n">
        <v>3</v>
      </c>
      <c r="G63" s="9" t="n"/>
      <c r="H63" s="9" t="n"/>
      <c r="I63" s="77" t="n"/>
      <c r="J63" s="9" t="inlineStr">
        <is>
          <t>IT</t>
        </is>
      </c>
      <c r="K63" s="9" t="n"/>
      <c r="L63" s="43">
        <f>IF(Table2[[#This Row],[Date]]&lt;&gt;0,"Stock In"," ")</f>
        <v/>
      </c>
    </row>
    <row r="64">
      <c r="B64" s="8" t="n">
        <v>46081</v>
      </c>
      <c r="C64" s="9" t="inlineStr">
        <is>
          <t>Toners - Olivetti C2335</t>
        </is>
      </c>
      <c r="D64" s="12" t="n"/>
      <c r="E64" s="9" t="n"/>
      <c r="F64" s="10" t="n">
        <v>3</v>
      </c>
      <c r="G64" s="9" t="n"/>
      <c r="H64" s="9" t="n"/>
      <c r="I64" s="77" t="n"/>
      <c r="J64" s="9" t="inlineStr">
        <is>
          <t>IT</t>
        </is>
      </c>
      <c r="K64" s="9" t="n"/>
      <c r="L64" s="43">
        <f>IF(Table2[[#This Row],[Date]]&lt;&gt;0,"Stock In"," ")</f>
        <v/>
      </c>
    </row>
    <row r="65">
      <c r="B65" s="8" t="n">
        <v>46081</v>
      </c>
      <c r="C65" s="9" t="inlineStr">
        <is>
          <t>Fibre - Single mode (LC to LC)</t>
        </is>
      </c>
      <c r="D65" s="12" t="n"/>
      <c r="E65" s="9" t="n"/>
      <c r="F65" s="10" t="n">
        <v>14</v>
      </c>
      <c r="G65" s="9" t="n"/>
      <c r="H65" s="9" t="n"/>
      <c r="I65" s="77" t="n"/>
      <c r="J65" s="9" t="inlineStr">
        <is>
          <t>IT</t>
        </is>
      </c>
      <c r="K65" s="9" t="n"/>
      <c r="L65" s="43">
        <f>IF(Table2[[#This Row],[Date]]&lt;&gt;0,"Stock In"," ")</f>
        <v/>
      </c>
    </row>
    <row r="66">
      <c r="B66" s="8" t="n">
        <v>46081</v>
      </c>
      <c r="C66" s="9" t="inlineStr">
        <is>
          <t>Fibre - Multi mode (LC to ST)</t>
        </is>
      </c>
      <c r="D66" s="12" t="n"/>
      <c r="E66" s="9" t="n"/>
      <c r="F66" s="10" t="n">
        <v>8</v>
      </c>
      <c r="G66" s="9" t="n"/>
      <c r="H66" s="9" t="n"/>
      <c r="I66" s="77" t="n"/>
      <c r="J66" s="9" t="inlineStr">
        <is>
          <t>IT</t>
        </is>
      </c>
      <c r="K66" s="9" t="n"/>
      <c r="L66" s="43">
        <f>IF(Table2[[#This Row],[Date]]&lt;&gt;0,"Stock In"," ")</f>
        <v/>
      </c>
    </row>
    <row r="67">
      <c r="B67" s="8" t="n">
        <v>46081</v>
      </c>
      <c r="C67" s="9" t="inlineStr">
        <is>
          <t>Fibre - Multi mode (LC to LC)</t>
        </is>
      </c>
      <c r="D67" s="12" t="n"/>
      <c r="E67" s="9" t="n"/>
      <c r="F67" s="10" t="n">
        <v>8</v>
      </c>
      <c r="G67" s="9" t="n"/>
      <c r="H67" s="9" t="n"/>
      <c r="I67" s="77" t="n"/>
      <c r="J67" s="9" t="inlineStr">
        <is>
          <t>IT</t>
        </is>
      </c>
      <c r="K67" s="9" t="n"/>
      <c r="L67" s="43">
        <f>IF(Table2[[#This Row],[Date]]&lt;&gt;0,"Stock In"," ")</f>
        <v/>
      </c>
    </row>
    <row r="68">
      <c r="B68" s="8" t="n">
        <v>46081</v>
      </c>
      <c r="C68" s="9" t="inlineStr">
        <is>
          <t>SFP Multi-mode Modules</t>
        </is>
      </c>
      <c r="D68" s="12" t="n"/>
      <c r="E68" s="9" t="n"/>
      <c r="F68" s="10" t="n">
        <v>14</v>
      </c>
      <c r="G68" s="9" t="n"/>
      <c r="H68" s="9" t="n"/>
      <c r="I68" s="77" t="n"/>
      <c r="J68" s="9" t="inlineStr">
        <is>
          <t>IT</t>
        </is>
      </c>
      <c r="K68" s="9" t="n"/>
      <c r="L68" s="43">
        <f>IF(Table2[[#This Row],[Date]]&lt;&gt;0,"Stock In"," ")</f>
        <v/>
      </c>
    </row>
    <row r="69">
      <c r="B69" s="8" t="n">
        <v>46081</v>
      </c>
      <c r="C69" s="9" t="inlineStr">
        <is>
          <t>SFP Single-mode Modules</t>
        </is>
      </c>
      <c r="D69" s="12" t="n"/>
      <c r="E69" s="9" t="n"/>
      <c r="F69" s="10" t="n">
        <v>2</v>
      </c>
      <c r="G69" s="9" t="n"/>
      <c r="H69" s="9" t="n"/>
      <c r="I69" s="77" t="n"/>
      <c r="J69" s="9" t="inlineStr">
        <is>
          <t>IT</t>
        </is>
      </c>
      <c r="K69" s="9" t="n"/>
      <c r="L69" s="43">
        <f>IF(Table2[[#This Row],[Date]]&lt;&gt;0,"Stock In"," ")</f>
        <v/>
      </c>
    </row>
    <row r="70">
      <c r="B70" s="8" t="n">
        <v>46078</v>
      </c>
      <c r="C70" s="9" t="inlineStr">
        <is>
          <t>Label Printers</t>
        </is>
      </c>
      <c r="D70" s="12" t="inlineStr">
        <is>
          <t>29J220201531</t>
        </is>
      </c>
      <c r="E70" s="9" t="inlineStr">
        <is>
          <t>Zebra GK420t</t>
        </is>
      </c>
      <c r="F70" s="10" t="n">
        <v>1</v>
      </c>
      <c r="G70" s="9" t="n"/>
      <c r="H70" s="9" t="n"/>
      <c r="I70" s="77" t="n"/>
      <c r="J70" s="9" t="inlineStr">
        <is>
          <t>IT</t>
        </is>
      </c>
      <c r="K70" s="9" t="n"/>
      <c r="L70" s="43">
        <f>IF(Table2[[#This Row],[Date]]&lt;&gt;0,"Stock In"," ")</f>
        <v/>
      </c>
    </row>
    <row r="71">
      <c r="B71" s="8" t="n">
        <v>46080</v>
      </c>
      <c r="C71" s="9" t="inlineStr">
        <is>
          <t>Label Printers</t>
        </is>
      </c>
      <c r="D71" s="12" t="inlineStr">
        <is>
          <t>29J220201531</t>
        </is>
      </c>
      <c r="E71" s="9" t="inlineStr">
        <is>
          <t>Zebra GK420t</t>
        </is>
      </c>
      <c r="F71" s="10" t="n">
        <v>1</v>
      </c>
      <c r="G71" s="9" t="n"/>
      <c r="H71" s="9" t="n"/>
      <c r="I71" s="77" t="n"/>
      <c r="J71" s="9" t="inlineStr">
        <is>
          <t>IT</t>
        </is>
      </c>
      <c r="K71" s="9" t="n"/>
      <c r="L71" s="43">
        <f>IF(Table2[[#This Row],[Date]]&lt;&gt;0,"Stock In"," ")</f>
        <v/>
      </c>
    </row>
    <row r="72">
      <c r="B72" s="8" t="n">
        <v>46081</v>
      </c>
      <c r="C72" s="9" t="inlineStr">
        <is>
          <t>Laptop Chargers</t>
        </is>
      </c>
      <c r="D72" s="12" t="n"/>
      <c r="E72" s="9" t="n"/>
      <c r="F72" s="10" t="n">
        <v>3</v>
      </c>
      <c r="G72" s="9" t="n"/>
      <c r="H72" s="9" t="n"/>
      <c r="I72" s="77" t="n"/>
      <c r="J72" s="9" t="inlineStr">
        <is>
          <t>IT</t>
        </is>
      </c>
      <c r="K72" s="9" t="n"/>
      <c r="L72" s="43">
        <f>IF(Table2[[#This Row],[Date]]&lt;&gt;0,"Stock In"," ")</f>
        <v/>
      </c>
    </row>
    <row r="73">
      <c r="B73" s="8" t="n">
        <v>46081</v>
      </c>
      <c r="C73" s="9" t="inlineStr">
        <is>
          <t>Network Cable(1 Roll x 200m)</t>
        </is>
      </c>
      <c r="D73" s="12" t="n"/>
      <c r="E73" s="9" t="n"/>
      <c r="F73" s="10" t="n">
        <v>0.25</v>
      </c>
      <c r="G73" s="9" t="n"/>
      <c r="H73" s="9" t="n"/>
      <c r="I73" s="77" t="n"/>
      <c r="J73" s="9" t="inlineStr">
        <is>
          <t>IT</t>
        </is>
      </c>
      <c r="K73" s="9" t="n"/>
      <c r="L73" s="43">
        <f>IF(Table2[[#This Row],[Date]]&lt;&gt;0,"Stock In"," ")</f>
        <v/>
      </c>
    </row>
    <row r="74">
      <c r="B74" s="8" t="n">
        <v>46081</v>
      </c>
      <c r="C74" s="9" t="inlineStr">
        <is>
          <t>UPS - Desktop</t>
        </is>
      </c>
      <c r="D74" s="12" t="n"/>
      <c r="E74" s="9" t="n"/>
      <c r="F74" s="10" t="n">
        <v>1</v>
      </c>
      <c r="G74" s="9" t="n"/>
      <c r="H74" s="9" t="n"/>
      <c r="I74" s="77" t="n"/>
      <c r="J74" s="9" t="inlineStr">
        <is>
          <t>IT</t>
        </is>
      </c>
      <c r="K74" s="9" t="n"/>
      <c r="L74" s="43">
        <f>IF(Table2[[#This Row],[Date]]&lt;&gt;0,"Stock In"," ")</f>
        <v/>
      </c>
    </row>
    <row r="75">
      <c r="B75" s="8" t="n">
        <v>46094</v>
      </c>
      <c r="C75" s="9" t="inlineStr">
        <is>
          <t>Networking</t>
        </is>
      </c>
      <c r="D75" s="9" t="n"/>
      <c r="E75" s="9" t="n"/>
      <c r="F75" s="10" t="n">
        <v>3</v>
      </c>
      <c r="G75" s="9" t="inlineStr">
        <is>
          <t>XT3237</t>
        </is>
      </c>
      <c r="H75" s="9" t="n"/>
      <c r="I75" s="77">
        <f>2640+216+225+156+54+2750</f>
        <v/>
      </c>
      <c r="J75" s="9" t="inlineStr">
        <is>
          <t>Deboning</t>
        </is>
      </c>
      <c r="K75" s="9" t="n"/>
      <c r="L75" s="43">
        <f>IF(Table2[[#This Row],[Date]]&lt;&gt;0,"Stock In"," ")</f>
        <v/>
      </c>
    </row>
    <row r="76">
      <c r="B76" s="8" t="n">
        <v>46094</v>
      </c>
      <c r="C76" s="9" t="inlineStr">
        <is>
          <t>Networking</t>
        </is>
      </c>
      <c r="D76" s="9" t="n"/>
      <c r="E76" s="9" t="n"/>
      <c r="F76" s="10" t="n"/>
      <c r="G76" s="9" t="inlineStr">
        <is>
          <t>XT3237</t>
        </is>
      </c>
      <c r="H76" s="9" t="n"/>
      <c r="I76" s="77">
        <f>880+72+550+2750</f>
        <v/>
      </c>
      <c r="J76" s="9" t="inlineStr">
        <is>
          <t>IT</t>
        </is>
      </c>
      <c r="K76" s="9" t="n"/>
      <c r="L76" s="43">
        <f>IF(Table2[[#This Row],[Date]]&lt;&gt;0,"Stock In"," ")</f>
        <v/>
      </c>
    </row>
    <row r="77">
      <c r="B77" s="58" t="n">
        <v>46094</v>
      </c>
      <c r="C77" s="59" t="inlineStr">
        <is>
          <t>Networking</t>
        </is>
      </c>
      <c r="D77" s="59" t="n"/>
      <c r="E77" s="59" t="n"/>
      <c r="F77" s="60" t="n"/>
      <c r="G77" s="59" t="inlineStr">
        <is>
          <t>XT3242</t>
        </is>
      </c>
      <c r="H77" s="59" t="n"/>
      <c r="I77" s="87" t="n">
        <v>3495</v>
      </c>
      <c r="J77" s="59" t="inlineStr">
        <is>
          <t>HR</t>
        </is>
      </c>
      <c r="K77" s="59" t="n"/>
      <c r="L77" s="59">
        <f>IF(Table2[[#This Row],[Date]]&lt;&gt;0,"Stock In"," ")</f>
        <v/>
      </c>
    </row>
    <row r="78">
      <c r="B78" s="58" t="n">
        <v>46097</v>
      </c>
      <c r="C78" s="9" t="n"/>
      <c r="D78" s="9" t="n"/>
      <c r="E78" s="9" t="n"/>
      <c r="F78" s="10" t="n"/>
      <c r="G78" s="9" t="inlineStr">
        <is>
          <t>XT3243</t>
        </is>
      </c>
      <c r="H78" s="9" t="n"/>
      <c r="I78" s="77" t="n">
        <v>17264.21</v>
      </c>
      <c r="J78" s="9" t="inlineStr">
        <is>
          <t>Health &amp; Saftey</t>
        </is>
      </c>
      <c r="K78" s="9" t="n"/>
      <c r="L78" s="9">
        <f>IF(Table2[[#This Row],[Date]]&lt;&gt;0,"Stock In"," ")</f>
        <v/>
      </c>
    </row>
    <row r="79">
      <c r="B79" s="58" t="n">
        <v>46098</v>
      </c>
      <c r="C79" s="9" t="inlineStr">
        <is>
          <t>Access Points</t>
        </is>
      </c>
      <c r="D79" s="59" t="n"/>
      <c r="E79" s="59" t="n"/>
      <c r="F79" s="60" t="n">
        <v>10</v>
      </c>
      <c r="G79" s="59" t="n"/>
      <c r="H79" s="59" t="n"/>
      <c r="I79" s="87" t="n"/>
      <c r="J79" s="59" t="n"/>
      <c r="K79" s="59" t="n"/>
      <c r="L79" s="59">
        <f>IF(Table2[[#This Row],[Date]]&lt;&gt;0,"Stock In"," ")</f>
        <v/>
      </c>
    </row>
    <row r="80">
      <c r="I80" s="88" t="n"/>
    </row>
    <row r="81">
      <c r="I81" s="88" t="n"/>
    </row>
    <row r="82">
      <c r="I82" s="88" t="n"/>
    </row>
    <row r="83">
      <c r="I83" s="88" t="n"/>
    </row>
    <row r="84">
      <c r="I84" s="88" t="n"/>
    </row>
    <row r="85">
      <c r="I85" s="88" t="n"/>
    </row>
    <row r="86">
      <c r="I86" s="88" t="n"/>
    </row>
    <row r="87">
      <c r="I87" s="88" t="n"/>
    </row>
    <row r="88">
      <c r="I88" s="88" t="n"/>
    </row>
    <row r="89">
      <c r="I89" s="88" t="n"/>
    </row>
    <row r="90">
      <c r="I90" s="88" t="n"/>
    </row>
    <row r="91">
      <c r="I91" s="88" t="n"/>
    </row>
    <row r="92">
      <c r="I92" s="88" t="n"/>
    </row>
    <row r="93">
      <c r="I93" s="88" t="n"/>
    </row>
    <row r="94">
      <c r="I94" s="88" t="n"/>
    </row>
    <row r="95">
      <c r="I95" s="88" t="n"/>
    </row>
    <row r="96">
      <c r="I96" s="88" t="n"/>
    </row>
    <row r="97">
      <c r="I97" s="88" t="n"/>
    </row>
    <row r="98">
      <c r="I98" s="88" t="n"/>
    </row>
    <row r="99">
      <c r="I99" s="88" t="n"/>
    </row>
    <row r="100">
      <c r="I100" s="88" t="n"/>
    </row>
    <row r="101">
      <c r="I101" s="88" t="n"/>
    </row>
    <row r="102">
      <c r="I102" s="88" t="n"/>
    </row>
    <row r="103">
      <c r="I103" s="88" t="n"/>
    </row>
    <row r="104">
      <c r="I104" s="88" t="n"/>
    </row>
    <row r="105">
      <c r="I105" s="88" t="n"/>
    </row>
    <row r="106">
      <c r="I106" s="88" t="n"/>
    </row>
    <row r="107">
      <c r="I107" s="88" t="n"/>
    </row>
    <row r="108">
      <c r="I108" s="88" t="n"/>
    </row>
    <row r="109">
      <c r="I109" s="88" t="n"/>
    </row>
    <row r="110">
      <c r="I110" s="88" t="n"/>
    </row>
    <row r="111">
      <c r="I111" s="88" t="n"/>
    </row>
    <row r="112">
      <c r="I112" s="88" t="n"/>
    </row>
    <row r="113">
      <c r="I113" s="88" t="n"/>
    </row>
    <row r="114">
      <c r="I114" s="88" t="n"/>
    </row>
    <row r="115">
      <c r="I115" s="88" t="n"/>
    </row>
    <row r="116">
      <c r="I116" s="88" t="n"/>
    </row>
    <row r="117">
      <c r="I117" s="88" t="n"/>
    </row>
    <row r="118">
      <c r="I118" s="88" t="n"/>
    </row>
    <row r="119">
      <c r="I119" s="88" t="n"/>
    </row>
    <row r="120">
      <c r="I120" s="88" t="n"/>
    </row>
    <row r="121">
      <c r="I121" s="88" t="n"/>
    </row>
    <row r="122">
      <c r="I122" s="88" t="n"/>
    </row>
    <row r="123">
      <c r="I123" s="88" t="n"/>
    </row>
    <row r="124">
      <c r="I124" s="88" t="n"/>
    </row>
    <row r="125">
      <c r="I125" s="88" t="n"/>
    </row>
    <row r="126">
      <c r="I126" s="88" t="n"/>
    </row>
    <row r="127">
      <c r="I127" s="88" t="n"/>
    </row>
    <row r="128">
      <c r="I128" s="88" t="n"/>
    </row>
    <row r="129">
      <c r="I129" s="88" t="n"/>
    </row>
    <row r="130">
      <c r="I130" s="88" t="n"/>
    </row>
    <row r="131">
      <c r="I131" s="88" t="n"/>
    </row>
    <row r="132">
      <c r="I132" s="88" t="n"/>
    </row>
    <row r="133">
      <c r="I133" s="88" t="n"/>
    </row>
    <row r="134">
      <c r="I134" s="88" t="n"/>
    </row>
    <row r="135">
      <c r="I135" s="88" t="n"/>
    </row>
    <row r="136">
      <c r="I136" s="88" t="n"/>
    </row>
    <row r="137">
      <c r="I137" s="88" t="n"/>
    </row>
    <row r="138">
      <c r="I138" s="88" t="n"/>
    </row>
    <row r="139">
      <c r="I139" s="88" t="n"/>
    </row>
    <row r="140">
      <c r="I140" s="88" t="n"/>
    </row>
    <row r="141">
      <c r="I141" s="88" t="n"/>
    </row>
    <row r="142">
      <c r="I142" s="88" t="n"/>
    </row>
    <row r="143">
      <c r="I143" s="88" t="n"/>
    </row>
    <row r="144">
      <c r="I144" s="88" t="n"/>
    </row>
    <row r="145">
      <c r="I145" s="88" t="n"/>
    </row>
    <row r="146">
      <c r="I146" s="88" t="n"/>
    </row>
    <row r="147">
      <c r="I147" s="88" t="n"/>
    </row>
    <row r="148">
      <c r="I148" s="88" t="n"/>
    </row>
    <row r="149">
      <c r="I149" s="88" t="n"/>
    </row>
    <row r="150">
      <c r="I150" s="88" t="n"/>
    </row>
    <row r="151">
      <c r="I151" s="88" t="n"/>
    </row>
    <row r="152">
      <c r="I152" s="88" t="n"/>
    </row>
    <row r="153">
      <c r="I153" s="88" t="n"/>
    </row>
    <row r="154">
      <c r="I154" s="88" t="n"/>
    </row>
    <row r="155">
      <c r="I155" s="88" t="n"/>
    </row>
    <row r="156">
      <c r="I156" s="88" t="n"/>
    </row>
    <row r="157">
      <c r="I157" s="88" t="n"/>
    </row>
    <row r="158">
      <c r="I158" s="88" t="n"/>
    </row>
    <row r="159">
      <c r="I159" s="88" t="n"/>
    </row>
    <row r="160">
      <c r="I160" s="88" t="n"/>
    </row>
    <row r="161">
      <c r="I161" s="88" t="n"/>
    </row>
    <row r="162">
      <c r="I162" s="88" t="n"/>
    </row>
    <row r="163">
      <c r="I163" s="88" t="n"/>
    </row>
    <row r="164">
      <c r="I164" s="88" t="n"/>
    </row>
    <row r="165">
      <c r="I165" s="88" t="n"/>
    </row>
    <row r="166">
      <c r="I166" s="88" t="n"/>
    </row>
    <row r="167">
      <c r="I167" s="88" t="n"/>
    </row>
    <row r="168">
      <c r="I168" s="88" t="n"/>
    </row>
    <row r="169">
      <c r="I169" s="88" t="n"/>
    </row>
    <row r="170">
      <c r="I170" s="88" t="n"/>
    </row>
    <row r="171">
      <c r="I171" s="88" t="n"/>
    </row>
    <row r="172">
      <c r="I172" s="88" t="n"/>
    </row>
    <row r="173">
      <c r="I173" s="88" t="n"/>
    </row>
    <row r="174">
      <c r="I174" s="88" t="n"/>
    </row>
    <row r="175">
      <c r="I175" s="88" t="n"/>
    </row>
    <row r="176">
      <c r="I176" s="88" t="n"/>
    </row>
    <row r="177">
      <c r="I177" s="88" t="n"/>
    </row>
    <row r="178">
      <c r="I178" s="88" t="n"/>
    </row>
    <row r="179">
      <c r="I179" s="88" t="n"/>
    </row>
    <row r="180">
      <c r="I180" s="88" t="n"/>
    </row>
    <row r="181">
      <c r="I181" s="88" t="n"/>
    </row>
    <row r="182">
      <c r="I182" s="88" t="n"/>
    </row>
    <row r="183">
      <c r="I183" s="88" t="n"/>
    </row>
    <row r="184">
      <c r="I184" s="88" t="n"/>
    </row>
    <row r="185">
      <c r="I185" s="88" t="n"/>
    </row>
    <row r="186">
      <c r="I186" s="88" t="n"/>
    </row>
    <row r="187">
      <c r="I187" s="88" t="n"/>
    </row>
    <row r="188">
      <c r="I188" s="88" t="n"/>
    </row>
    <row r="189">
      <c r="I189" s="88" t="n"/>
    </row>
    <row r="190">
      <c r="I190" s="88" t="n"/>
    </row>
    <row r="191">
      <c r="I191" s="88" t="n"/>
    </row>
    <row r="192">
      <c r="I192" s="88" t="n"/>
    </row>
    <row r="193">
      <c r="I193" s="88" t="n"/>
    </row>
    <row r="194">
      <c r="I194" s="88" t="n"/>
    </row>
    <row r="195">
      <c r="I195" s="88" t="n"/>
    </row>
    <row r="196">
      <c r="I196" s="88" t="n"/>
    </row>
    <row r="197">
      <c r="I197" s="88" t="n"/>
    </row>
    <row r="198">
      <c r="I198" s="88" t="n"/>
    </row>
    <row r="199">
      <c r="I199" s="88" t="n"/>
    </row>
    <row r="200">
      <c r="I200" s="88" t="n"/>
    </row>
    <row r="201">
      <c r="I201" s="88" t="n"/>
    </row>
    <row r="202">
      <c r="I202" s="88" t="n"/>
    </row>
    <row r="203">
      <c r="I203" s="88" t="n"/>
    </row>
    <row r="204">
      <c r="I204" s="88" t="n"/>
    </row>
    <row r="205">
      <c r="I205" s="88" t="n"/>
    </row>
    <row r="206">
      <c r="I206" s="88" t="n"/>
    </row>
    <row r="207">
      <c r="I207" s="88" t="n"/>
    </row>
    <row r="208">
      <c r="I208" s="88" t="n"/>
    </row>
    <row r="209">
      <c r="I209" s="88" t="n"/>
    </row>
    <row r="210">
      <c r="I210" s="88" t="n"/>
    </row>
    <row r="211">
      <c r="I211" s="88" t="n"/>
    </row>
    <row r="212">
      <c r="I212" s="88" t="n"/>
    </row>
    <row r="213">
      <c r="I213" s="88" t="n"/>
    </row>
    <row r="214">
      <c r="I214" s="88" t="n"/>
    </row>
    <row r="215">
      <c r="I215" s="88" t="n"/>
    </row>
    <row r="216">
      <c r="I216" s="88" t="n"/>
    </row>
    <row r="217">
      <c r="I217" s="88" t="n"/>
    </row>
    <row r="218">
      <c r="I218" s="88" t="n"/>
    </row>
    <row r="219">
      <c r="I219" s="88" t="n"/>
    </row>
    <row r="220">
      <c r="I220" s="88" t="n"/>
    </row>
    <row r="221">
      <c r="I221" s="88" t="n"/>
    </row>
    <row r="222">
      <c r="I222" s="88" t="n"/>
    </row>
    <row r="223">
      <c r="I223" s="88" t="n"/>
    </row>
    <row r="224">
      <c r="I224" s="88" t="n"/>
    </row>
    <row r="225">
      <c r="I225" s="88" t="n"/>
    </row>
    <row r="226">
      <c r="I226" s="88" t="n"/>
    </row>
    <row r="227">
      <c r="I227" s="88" t="n"/>
    </row>
    <row r="228">
      <c r="I228" s="88" t="n"/>
    </row>
    <row r="229">
      <c r="I229" s="88" t="n"/>
    </row>
    <row r="230">
      <c r="I230" s="88" t="n"/>
    </row>
    <row r="231">
      <c r="I231" s="88" t="n"/>
    </row>
    <row r="232">
      <c r="I232" s="88" t="n"/>
    </row>
    <row r="233">
      <c r="I233" s="88" t="n"/>
    </row>
    <row r="234">
      <c r="I234" s="88" t="n"/>
    </row>
    <row r="235">
      <c r="I235" s="88" t="n"/>
    </row>
    <row r="236">
      <c r="I236" s="88" t="n"/>
    </row>
    <row r="237">
      <c r="I237" s="88" t="n"/>
    </row>
    <row r="238">
      <c r="I238" s="88" t="n"/>
    </row>
    <row r="239">
      <c r="I239" s="88" t="n"/>
    </row>
    <row r="240">
      <c r="I240" s="88" t="n"/>
    </row>
    <row r="241">
      <c r="I241" s="88" t="n"/>
    </row>
    <row r="242">
      <c r="I242" s="88" t="n"/>
    </row>
    <row r="243">
      <c r="I243" s="88" t="n"/>
    </row>
    <row r="244">
      <c r="I244" s="88" t="n"/>
    </row>
    <row r="245">
      <c r="I245" s="88" t="n"/>
    </row>
    <row r="246">
      <c r="I246" s="88" t="n"/>
    </row>
    <row r="247">
      <c r="I247" s="88" t="n"/>
    </row>
    <row r="248">
      <c r="I248" s="88" t="n"/>
    </row>
    <row r="249">
      <c r="I249" s="88" t="n"/>
    </row>
    <row r="250">
      <c r="I250" s="88" t="n"/>
    </row>
    <row r="251">
      <c r="I251" s="88" t="n"/>
    </row>
    <row r="252">
      <c r="I252" s="88" t="n"/>
    </row>
    <row r="253">
      <c r="I253" s="88" t="n"/>
    </row>
    <row r="254">
      <c r="I254" s="88" t="n"/>
    </row>
    <row r="255">
      <c r="I255" s="88" t="n"/>
    </row>
    <row r="256">
      <c r="I256" s="88" t="n"/>
    </row>
    <row r="257">
      <c r="I257" s="88" t="n"/>
    </row>
    <row r="258">
      <c r="I258" s="88" t="n"/>
    </row>
    <row r="259">
      <c r="I259" s="88" t="n"/>
    </row>
    <row r="260">
      <c r="I260" s="88" t="n"/>
    </row>
    <row r="261">
      <c r="I261" s="88" t="n"/>
    </row>
    <row r="262">
      <c r="I262" s="88" t="n"/>
    </row>
    <row r="263">
      <c r="I263" s="88" t="n"/>
    </row>
    <row r="264">
      <c r="I264" s="88" t="n"/>
    </row>
    <row r="265">
      <c r="I265" s="88" t="n"/>
    </row>
    <row r="266">
      <c r="I266" s="88" t="n"/>
    </row>
    <row r="267">
      <c r="I267" s="88" t="n"/>
    </row>
    <row r="268">
      <c r="I268" s="88" t="n"/>
    </row>
    <row r="269">
      <c r="I269" s="88" t="n"/>
    </row>
    <row r="270">
      <c r="I270" s="88" t="n"/>
    </row>
    <row r="271">
      <c r="I271" s="88" t="n"/>
    </row>
    <row r="272">
      <c r="I272" s="88" t="n"/>
    </row>
    <row r="273">
      <c r="I273" s="88" t="n"/>
    </row>
    <row r="274">
      <c r="I274" s="88" t="n"/>
    </row>
    <row r="275">
      <c r="I275" s="88" t="n"/>
    </row>
    <row r="276">
      <c r="I276" s="88" t="n"/>
    </row>
    <row r="277">
      <c r="I277" s="88" t="n"/>
    </row>
    <row r="278">
      <c r="I278" s="88" t="n"/>
    </row>
    <row r="279">
      <c r="I279" s="88" t="n"/>
    </row>
    <row r="280">
      <c r="I280" s="88" t="n"/>
    </row>
    <row r="281">
      <c r="I281" s="88" t="n"/>
    </row>
    <row r="282">
      <c r="I282" s="88" t="n"/>
    </row>
    <row r="283">
      <c r="I283" s="88" t="n"/>
    </row>
    <row r="284">
      <c r="I284" s="88" t="n"/>
    </row>
    <row r="285">
      <c r="I285" s="88" t="n"/>
    </row>
    <row r="286">
      <c r="I286" s="88" t="n"/>
    </row>
    <row r="287">
      <c r="I287" s="88" t="n"/>
    </row>
    <row r="288">
      <c r="I288" s="88" t="n"/>
    </row>
    <row r="289">
      <c r="I289" s="88" t="n"/>
    </row>
    <row r="290">
      <c r="I290" s="88" t="n"/>
    </row>
    <row r="291">
      <c r="I291" s="88" t="n"/>
    </row>
    <row r="292">
      <c r="I292" s="88" t="n"/>
    </row>
    <row r="293">
      <c r="I293" s="88" t="n"/>
    </row>
    <row r="294">
      <c r="I294" s="88" t="n"/>
    </row>
    <row r="295">
      <c r="I295" s="88" t="n"/>
    </row>
    <row r="296">
      <c r="I296" s="88" t="n"/>
    </row>
    <row r="297">
      <c r="I297" s="88" t="n"/>
    </row>
    <row r="298">
      <c r="I298" s="88" t="n"/>
    </row>
    <row r="299">
      <c r="I299" s="88" t="n"/>
    </row>
    <row r="300">
      <c r="I300" s="88" t="n"/>
    </row>
    <row r="301">
      <c r="I301" s="88" t="n"/>
    </row>
    <row r="302">
      <c r="I302" s="88" t="n"/>
    </row>
    <row r="303">
      <c r="I303" s="88" t="n"/>
    </row>
    <row r="304">
      <c r="I304" s="88" t="n"/>
    </row>
    <row r="305">
      <c r="I305" s="88" t="n"/>
    </row>
    <row r="306">
      <c r="I306" s="88" t="n"/>
    </row>
    <row r="307">
      <c r="I307" s="88" t="n"/>
    </row>
    <row r="308">
      <c r="I308" s="88" t="n"/>
    </row>
    <row r="309">
      <c r="I309" s="88" t="n"/>
    </row>
    <row r="310">
      <c r="I310" s="88" t="n"/>
    </row>
    <row r="311">
      <c r="I311" s="88" t="n"/>
    </row>
    <row r="312">
      <c r="I312" s="88" t="n"/>
    </row>
    <row r="313">
      <c r="I313" s="88" t="n"/>
    </row>
    <row r="314">
      <c r="I314" s="88" t="n"/>
    </row>
    <row r="315">
      <c r="I315" s="88" t="n"/>
    </row>
    <row r="316">
      <c r="I316" s="88" t="n"/>
    </row>
    <row r="317">
      <c r="I317" s="88" t="n"/>
    </row>
    <row r="318">
      <c r="I318" s="88" t="n"/>
    </row>
    <row r="319">
      <c r="I319" s="88" t="n"/>
    </row>
    <row r="320">
      <c r="I320" s="88" t="n"/>
    </row>
    <row r="321">
      <c r="I321" s="88" t="n"/>
    </row>
    <row r="322">
      <c r="I322" s="88" t="n"/>
    </row>
    <row r="323">
      <c r="I323" s="88" t="n"/>
    </row>
    <row r="324">
      <c r="I324" s="88" t="n"/>
    </row>
    <row r="325">
      <c r="I325" s="88" t="n"/>
    </row>
    <row r="326">
      <c r="I326" s="88" t="n"/>
    </row>
    <row r="327">
      <c r="I327" s="88" t="n"/>
    </row>
    <row r="328">
      <c r="I328" s="88" t="n"/>
    </row>
    <row r="329">
      <c r="I329" s="88" t="n"/>
    </row>
    <row r="330">
      <c r="I330" s="88" t="n"/>
    </row>
    <row r="331">
      <c r="I331" s="88" t="n"/>
    </row>
    <row r="332">
      <c r="I332" s="88" t="n"/>
    </row>
    <row r="333">
      <c r="I333" s="88" t="n"/>
    </row>
    <row r="334">
      <c r="I334" s="88" t="n"/>
    </row>
    <row r="335">
      <c r="I335" s="88" t="n"/>
    </row>
    <row r="336">
      <c r="I336" s="88" t="n"/>
    </row>
    <row r="337">
      <c r="I337" s="88" t="n"/>
    </row>
    <row r="338">
      <c r="I338" s="88" t="n"/>
    </row>
    <row r="339">
      <c r="I339" s="88" t="n"/>
    </row>
    <row r="340">
      <c r="I340" s="88" t="n"/>
    </row>
    <row r="341">
      <c r="I341" s="88" t="n"/>
    </row>
    <row r="342">
      <c r="I342" s="88" t="n"/>
    </row>
    <row r="343">
      <c r="I343" s="88" t="n"/>
    </row>
    <row r="344">
      <c r="I344" s="88" t="n"/>
    </row>
    <row r="345">
      <c r="I345" s="88" t="n"/>
    </row>
    <row r="346">
      <c r="I346" s="88" t="n"/>
    </row>
    <row r="347">
      <c r="I347" s="88" t="n"/>
    </row>
    <row r="348">
      <c r="I348" s="88" t="n"/>
    </row>
    <row r="349">
      <c r="I349" s="88" t="n"/>
    </row>
    <row r="350">
      <c r="I350" s="88" t="n"/>
    </row>
    <row r="351">
      <c r="I351" s="88" t="n"/>
    </row>
    <row r="352">
      <c r="I352" s="88" t="n"/>
    </row>
    <row r="353">
      <c r="I353" s="88" t="n"/>
    </row>
    <row r="354">
      <c r="I354" s="88" t="n"/>
    </row>
    <row r="355">
      <c r="I355" s="88" t="n"/>
    </row>
    <row r="356">
      <c r="I356" s="88" t="n"/>
    </row>
    <row r="357">
      <c r="I357" s="88" t="n"/>
    </row>
    <row r="358">
      <c r="I358" s="88" t="n"/>
    </row>
    <row r="359">
      <c r="I359" s="88" t="n"/>
    </row>
    <row r="360">
      <c r="I360" s="88" t="n"/>
    </row>
    <row r="361">
      <c r="I361" s="88" t="n"/>
    </row>
    <row r="362">
      <c r="I362" s="88" t="n"/>
    </row>
    <row r="363">
      <c r="I363" s="88" t="n"/>
    </row>
    <row r="364">
      <c r="I364" s="88" t="n"/>
    </row>
    <row r="365">
      <c r="I365" s="88" t="n"/>
    </row>
    <row r="366">
      <c r="I366" s="88" t="n"/>
    </row>
    <row r="367">
      <c r="I367" s="88" t="n"/>
    </row>
    <row r="368">
      <c r="I368" s="88" t="n"/>
    </row>
    <row r="369">
      <c r="I369" s="88" t="n"/>
    </row>
    <row r="370">
      <c r="I370" s="88" t="n"/>
    </row>
    <row r="371">
      <c r="I371" s="88" t="n"/>
    </row>
    <row r="372">
      <c r="I372" s="88" t="n"/>
    </row>
    <row r="373">
      <c r="I373" s="88" t="n"/>
    </row>
    <row r="374">
      <c r="I374" s="88" t="n"/>
    </row>
    <row r="375">
      <c r="I375" s="88" t="n"/>
    </row>
    <row r="376">
      <c r="I376" s="88" t="n"/>
    </row>
    <row r="377">
      <c r="I377" s="88" t="n"/>
    </row>
    <row r="378">
      <c r="I378" s="88" t="n"/>
    </row>
    <row r="379">
      <c r="I379" s="88" t="n"/>
    </row>
    <row r="380">
      <c r="I380" s="88" t="n"/>
    </row>
    <row r="381">
      <c r="I381" s="88" t="n"/>
    </row>
    <row r="382">
      <c r="I382" s="88" t="n"/>
    </row>
    <row r="383">
      <c r="I383" s="88" t="n"/>
    </row>
    <row r="384">
      <c r="I384" s="88" t="n"/>
    </row>
    <row r="385">
      <c r="I385" s="88" t="n"/>
    </row>
    <row r="386">
      <c r="I386" s="88" t="n"/>
    </row>
    <row r="387">
      <c r="I387" s="88" t="n"/>
    </row>
    <row r="388">
      <c r="I388" s="88" t="n"/>
    </row>
    <row r="389">
      <c r="I389" s="88" t="n"/>
    </row>
    <row r="390">
      <c r="I390" s="88" t="n"/>
    </row>
    <row r="391">
      <c r="I391" s="88" t="n"/>
    </row>
    <row r="392">
      <c r="I392" s="88" t="n"/>
    </row>
    <row r="393">
      <c r="I393" s="88" t="n"/>
    </row>
    <row r="394">
      <c r="I394" s="88" t="n"/>
    </row>
    <row r="395">
      <c r="I395" s="88" t="n"/>
    </row>
    <row r="396">
      <c r="I396" s="88" t="n"/>
    </row>
    <row r="397">
      <c r="I397" s="88" t="n"/>
    </row>
    <row r="398">
      <c r="I398" s="88" t="n"/>
    </row>
    <row r="399">
      <c r="I399" s="88" t="n"/>
    </row>
    <row r="400">
      <c r="I400" s="88" t="n"/>
    </row>
    <row r="401">
      <c r="I401" s="88" t="n"/>
    </row>
    <row r="402">
      <c r="I402" s="88" t="n"/>
    </row>
    <row r="403">
      <c r="I403" s="88" t="n"/>
    </row>
    <row r="404">
      <c r="I404" s="88" t="n"/>
    </row>
    <row r="405">
      <c r="I405" s="88" t="n"/>
    </row>
    <row r="406">
      <c r="I406" s="88" t="n"/>
    </row>
    <row r="407">
      <c r="I407" s="88" t="n"/>
    </row>
    <row r="408">
      <c r="I408" s="88" t="n"/>
    </row>
    <row r="409">
      <c r="I409" s="88" t="n"/>
    </row>
    <row r="410">
      <c r="I410" s="88" t="n"/>
    </row>
    <row r="411">
      <c r="I411" s="88" t="n"/>
    </row>
    <row r="412">
      <c r="I412" s="88" t="n"/>
    </row>
    <row r="413">
      <c r="I413" s="88" t="n"/>
    </row>
    <row r="414">
      <c r="I414" s="88" t="n"/>
    </row>
    <row r="415">
      <c r="I415" s="88" t="n"/>
    </row>
    <row r="416">
      <c r="I416" s="88" t="n"/>
    </row>
    <row r="417">
      <c r="I417" s="88" t="n"/>
    </row>
    <row r="418">
      <c r="I418" s="88" t="n"/>
    </row>
    <row r="419">
      <c r="I419" s="88" t="n"/>
    </row>
    <row r="420">
      <c r="I420" s="88" t="n"/>
    </row>
    <row r="421">
      <c r="I421" s="88" t="n"/>
    </row>
    <row r="422">
      <c r="I422" s="88" t="n"/>
    </row>
    <row r="423">
      <c r="I423" s="88" t="n"/>
    </row>
    <row r="424">
      <c r="I424" s="88" t="n"/>
    </row>
    <row r="425">
      <c r="I425" s="88" t="n"/>
    </row>
    <row r="426">
      <c r="I426" s="88" t="n"/>
    </row>
    <row r="427">
      <c r="I427" s="88" t="n"/>
    </row>
    <row r="428">
      <c r="I428" s="88" t="n"/>
    </row>
    <row r="429">
      <c r="I429" s="88" t="n"/>
    </row>
    <row r="430">
      <c r="I430" s="88" t="n"/>
    </row>
    <row r="431">
      <c r="I431" s="88" t="n"/>
    </row>
    <row r="432">
      <c r="I432" s="88" t="n"/>
    </row>
    <row r="433">
      <c r="I433" s="88" t="n"/>
    </row>
    <row r="434">
      <c r="I434" s="88" t="n"/>
    </row>
    <row r="435">
      <c r="I435" s="88" t="n"/>
    </row>
    <row r="436">
      <c r="I436" s="88" t="n"/>
    </row>
    <row r="437">
      <c r="I437" s="88" t="n"/>
    </row>
    <row r="438">
      <c r="I438" s="88" t="n"/>
    </row>
    <row r="439">
      <c r="I439" s="88" t="n"/>
    </row>
    <row r="440">
      <c r="I440" s="88" t="n"/>
    </row>
    <row r="441">
      <c r="I441" s="88" t="n"/>
    </row>
    <row r="442">
      <c r="I442" s="88" t="n"/>
    </row>
    <row r="443">
      <c r="I443" s="88" t="n"/>
    </row>
    <row r="444">
      <c r="I444" s="88" t="n"/>
    </row>
    <row r="445">
      <c r="I445" s="88" t="n"/>
    </row>
    <row r="446">
      <c r="I446" s="88" t="n"/>
    </row>
    <row r="447">
      <c r="I447" s="88" t="n"/>
    </row>
    <row r="448">
      <c r="I448" s="88" t="n"/>
    </row>
    <row r="449">
      <c r="I449" s="88" t="n"/>
    </row>
    <row r="450">
      <c r="I450" s="88" t="n"/>
    </row>
    <row r="451">
      <c r="I451" s="88" t="n"/>
    </row>
    <row r="452">
      <c r="I452" s="88" t="n"/>
    </row>
    <row r="453">
      <c r="I453" s="88" t="n"/>
    </row>
    <row r="454">
      <c r="I454" s="88" t="n"/>
    </row>
    <row r="455">
      <c r="I455" s="88" t="n"/>
    </row>
    <row r="456">
      <c r="I456" s="88" t="n"/>
    </row>
    <row r="457">
      <c r="I457" s="88" t="n"/>
    </row>
    <row r="458">
      <c r="I458" s="88" t="n"/>
    </row>
    <row r="459">
      <c r="I459" s="88" t="n"/>
    </row>
    <row r="460">
      <c r="I460" s="88" t="n"/>
    </row>
    <row r="461">
      <c r="I461" s="88" t="n"/>
    </row>
    <row r="462">
      <c r="I462" s="88" t="n"/>
    </row>
    <row r="463">
      <c r="I463" s="88" t="n"/>
    </row>
    <row r="464">
      <c r="I464" s="88" t="n"/>
    </row>
    <row r="465">
      <c r="I465" s="88" t="n"/>
    </row>
    <row r="466">
      <c r="I466" s="88" t="n"/>
    </row>
    <row r="467">
      <c r="I467" s="88" t="n"/>
    </row>
    <row r="468">
      <c r="I468" s="88" t="n"/>
    </row>
    <row r="469">
      <c r="I469" s="88" t="n"/>
    </row>
    <row r="470">
      <c r="I470" s="88" t="n"/>
    </row>
    <row r="471">
      <c r="I471" s="88" t="n"/>
    </row>
    <row r="472">
      <c r="I472" s="88" t="n"/>
    </row>
    <row r="473">
      <c r="I473" s="88" t="n"/>
    </row>
    <row r="474">
      <c r="I474" s="88" t="n"/>
    </row>
    <row r="475">
      <c r="I475" s="88" t="n"/>
    </row>
    <row r="476">
      <c r="I476" s="88" t="n"/>
    </row>
    <row r="477">
      <c r="I477" s="88" t="n"/>
    </row>
    <row r="478">
      <c r="I478" s="88" t="n"/>
    </row>
    <row r="479">
      <c r="I479" s="88" t="n"/>
    </row>
    <row r="480">
      <c r="I480" s="88" t="n"/>
    </row>
    <row r="481">
      <c r="I481" s="88" t="n"/>
    </row>
    <row r="482">
      <c r="I482" s="88" t="n"/>
    </row>
    <row r="483">
      <c r="I483" s="88" t="n"/>
    </row>
    <row r="484">
      <c r="I484" s="88" t="n"/>
    </row>
    <row r="485">
      <c r="I485" s="88" t="n"/>
    </row>
    <row r="486">
      <c r="I486" s="88" t="n"/>
    </row>
    <row r="487">
      <c r="I487" s="88" t="n"/>
    </row>
    <row r="488">
      <c r="I488" s="88" t="n"/>
    </row>
    <row r="489">
      <c r="I489" s="88" t="n"/>
    </row>
    <row r="490">
      <c r="I490" s="88" t="n"/>
    </row>
    <row r="491">
      <c r="I491" s="88" t="n"/>
    </row>
    <row r="492">
      <c r="I492" s="88" t="n"/>
    </row>
    <row r="493">
      <c r="I493" s="88" t="n"/>
    </row>
    <row r="494">
      <c r="I494" s="88" t="n"/>
    </row>
    <row r="495">
      <c r="I495" s="88" t="n"/>
    </row>
    <row r="496">
      <c r="I496" s="88" t="n"/>
    </row>
    <row r="497">
      <c r="I497" s="88" t="n"/>
    </row>
    <row r="498">
      <c r="I498" s="88" t="n"/>
    </row>
    <row r="499">
      <c r="I499" s="88" t="n"/>
    </row>
    <row r="500">
      <c r="I500" s="88" t="n"/>
    </row>
    <row r="501">
      <c r="I501" s="88" t="n"/>
    </row>
    <row r="502">
      <c r="I502" s="88" t="n"/>
    </row>
    <row r="503">
      <c r="I503" s="88" t="n"/>
    </row>
    <row r="504">
      <c r="I504" s="88" t="n"/>
    </row>
    <row r="505">
      <c r="I505" s="88" t="n"/>
    </row>
    <row r="506">
      <c r="I506" s="88" t="n"/>
    </row>
    <row r="507">
      <c r="I507" s="88" t="n"/>
    </row>
    <row r="508">
      <c r="I508" s="88" t="n"/>
    </row>
    <row r="509">
      <c r="I509" s="88" t="n"/>
    </row>
    <row r="510">
      <c r="I510" s="88" t="n"/>
    </row>
    <row r="511">
      <c r="I511" s="88" t="n"/>
    </row>
    <row r="512">
      <c r="I512" s="88" t="n"/>
    </row>
    <row r="513">
      <c r="I513" s="88" t="n"/>
    </row>
    <row r="514">
      <c r="I514" s="88" t="n"/>
    </row>
    <row r="515">
      <c r="I515" s="88" t="n"/>
    </row>
    <row r="516">
      <c r="I516" s="88" t="n"/>
    </row>
    <row r="517">
      <c r="I517" s="88" t="n"/>
    </row>
    <row r="518">
      <c r="I518" s="88" t="n"/>
    </row>
    <row r="519">
      <c r="I519" s="88" t="n"/>
    </row>
    <row r="520">
      <c r="I520" s="88" t="n"/>
    </row>
    <row r="521">
      <c r="I521" s="88" t="n"/>
    </row>
    <row r="522">
      <c r="I522" s="88" t="n"/>
    </row>
    <row r="523">
      <c r="I523" s="88" t="n"/>
    </row>
    <row r="524">
      <c r="I524" s="88" t="n"/>
    </row>
    <row r="525">
      <c r="I525" s="88" t="n"/>
    </row>
    <row r="526">
      <c r="I526" s="88" t="n"/>
    </row>
    <row r="527">
      <c r="I527" s="88" t="n"/>
    </row>
    <row r="528">
      <c r="I528" s="88" t="n"/>
    </row>
    <row r="529">
      <c r="I529" s="88" t="n"/>
    </row>
    <row r="530">
      <c r="I530" s="88" t="n"/>
    </row>
    <row r="531">
      <c r="I531" s="88" t="n"/>
    </row>
    <row r="532">
      <c r="I532" s="88" t="n"/>
    </row>
    <row r="533">
      <c r="I533" s="88" t="n"/>
    </row>
    <row r="534">
      <c r="I534" s="88" t="n"/>
    </row>
    <row r="535">
      <c r="I535" s="88" t="n"/>
    </row>
    <row r="536">
      <c r="I536" s="88" t="n"/>
    </row>
    <row r="537">
      <c r="I537" s="88" t="n"/>
    </row>
    <row r="538">
      <c r="I538" s="88" t="n"/>
    </row>
    <row r="539">
      <c r="I539" s="88" t="n"/>
    </row>
    <row r="540">
      <c r="I540" s="88" t="n"/>
    </row>
    <row r="541">
      <c r="I541" s="88" t="n"/>
    </row>
    <row r="542">
      <c r="I542" s="88" t="n"/>
    </row>
    <row r="543">
      <c r="I543" s="88" t="n"/>
    </row>
    <row r="544">
      <c r="I544" s="88" t="n"/>
    </row>
    <row r="545">
      <c r="I545" s="88" t="n"/>
    </row>
    <row r="546">
      <c r="I546" s="88" t="n"/>
    </row>
    <row r="547">
      <c r="I547" s="88" t="n"/>
    </row>
    <row r="548">
      <c r="I548" s="88" t="n"/>
    </row>
    <row r="549">
      <c r="I549" s="88" t="n"/>
    </row>
    <row r="550">
      <c r="I550" s="88" t="n"/>
    </row>
    <row r="551">
      <c r="I551" s="88" t="n"/>
    </row>
    <row r="552">
      <c r="I552" s="88" t="n"/>
    </row>
    <row r="553">
      <c r="I553" s="88" t="n"/>
    </row>
    <row r="554">
      <c r="I554" s="88" t="n"/>
    </row>
    <row r="555">
      <c r="I555" s="88" t="n"/>
    </row>
    <row r="556">
      <c r="I556" s="88" t="n"/>
    </row>
    <row r="557">
      <c r="I557" s="88" t="n"/>
    </row>
    <row r="558">
      <c r="I558" s="88" t="n"/>
    </row>
    <row r="559">
      <c r="I559" s="88" t="n"/>
    </row>
    <row r="560">
      <c r="I560" s="88" t="n"/>
    </row>
    <row r="561">
      <c r="I561" s="88" t="n"/>
    </row>
    <row r="562">
      <c r="I562" s="88" t="n"/>
    </row>
    <row r="563">
      <c r="I563" s="88" t="n"/>
    </row>
    <row r="564">
      <c r="I564" s="88" t="n"/>
    </row>
    <row r="565">
      <c r="I565" s="88" t="n"/>
    </row>
    <row r="566">
      <c r="I566" s="88" t="n"/>
    </row>
    <row r="567">
      <c r="I567" s="88" t="n"/>
    </row>
    <row r="568">
      <c r="I568" s="88" t="n"/>
    </row>
    <row r="569">
      <c r="I569" s="88" t="n"/>
    </row>
    <row r="570">
      <c r="I570" s="88" t="n"/>
    </row>
    <row r="571">
      <c r="I571" s="88" t="n"/>
    </row>
    <row r="572">
      <c r="I572" s="88" t="n"/>
    </row>
    <row r="573">
      <c r="I573" s="88" t="n"/>
    </row>
    <row r="574">
      <c r="I574" s="88" t="n"/>
    </row>
    <row r="575">
      <c r="I575" s="88" t="n"/>
    </row>
    <row r="576">
      <c r="I576" s="88" t="n"/>
    </row>
    <row r="577">
      <c r="I577" s="88" t="n"/>
    </row>
    <row r="578">
      <c r="I578" s="88" t="n"/>
    </row>
    <row r="579">
      <c r="I579" s="88" t="n"/>
    </row>
    <row r="580">
      <c r="I580" s="88" t="n"/>
    </row>
    <row r="581">
      <c r="I581" s="88" t="n"/>
    </row>
    <row r="582">
      <c r="I582" s="88" t="n"/>
    </row>
    <row r="583">
      <c r="I583" s="88" t="n"/>
    </row>
    <row r="584">
      <c r="I584" s="88" t="n"/>
    </row>
    <row r="585">
      <c r="I585" s="88" t="n"/>
    </row>
    <row r="586">
      <c r="I586" s="88" t="n"/>
    </row>
    <row r="587">
      <c r="I587" s="88" t="n"/>
    </row>
    <row r="588">
      <c r="I588" s="88" t="n"/>
    </row>
    <row r="589">
      <c r="I589" s="88" t="n"/>
    </row>
    <row r="590">
      <c r="I590" s="88" t="n"/>
    </row>
    <row r="591">
      <c r="I591" s="88" t="n"/>
    </row>
    <row r="592">
      <c r="I592" s="88" t="n"/>
    </row>
    <row r="593">
      <c r="I593" s="88" t="n"/>
    </row>
    <row r="594">
      <c r="I594" s="88" t="n"/>
    </row>
    <row r="595">
      <c r="I595" s="88" t="n"/>
    </row>
    <row r="596">
      <c r="I596" s="88" t="n"/>
    </row>
    <row r="597">
      <c r="I597" s="88" t="n"/>
    </row>
    <row r="598">
      <c r="I598" s="88" t="n"/>
    </row>
    <row r="599">
      <c r="I599" s="88" t="n"/>
    </row>
    <row r="600">
      <c r="I600" s="88" t="n"/>
    </row>
    <row r="601">
      <c r="I601" s="88" t="n"/>
    </row>
    <row r="602">
      <c r="I602" s="88" t="n"/>
    </row>
    <row r="603">
      <c r="I603" s="88" t="n"/>
    </row>
    <row r="604">
      <c r="I604" s="88" t="n"/>
    </row>
    <row r="605">
      <c r="I605" s="88" t="n"/>
    </row>
    <row r="606">
      <c r="I606" s="88" t="n"/>
    </row>
    <row r="607">
      <c r="I607" s="88" t="n"/>
    </row>
    <row r="608">
      <c r="I608" s="88" t="n"/>
    </row>
    <row r="609">
      <c r="I609" s="88" t="n"/>
    </row>
    <row r="610">
      <c r="I610" s="88" t="n"/>
    </row>
    <row r="611">
      <c r="I611" s="88" t="n"/>
    </row>
    <row r="612">
      <c r="I612" s="88" t="n"/>
    </row>
    <row r="613">
      <c r="I613" s="88" t="n"/>
    </row>
    <row r="614">
      <c r="I614" s="88" t="n"/>
    </row>
    <row r="615">
      <c r="I615" s="88" t="n"/>
    </row>
    <row r="616">
      <c r="I616" s="88" t="n"/>
    </row>
    <row r="617">
      <c r="I617" s="88" t="n"/>
    </row>
    <row r="618">
      <c r="I618" s="88" t="n"/>
    </row>
    <row r="619">
      <c r="I619" s="88" t="n"/>
    </row>
    <row r="620">
      <c r="I620" s="88" t="n"/>
    </row>
    <row r="621">
      <c r="I621" s="88" t="n"/>
    </row>
    <row r="622">
      <c r="I622" s="88" t="n"/>
    </row>
    <row r="623">
      <c r="I623" s="88" t="n"/>
    </row>
    <row r="624">
      <c r="I624" s="88" t="n"/>
    </row>
    <row r="625">
      <c r="I625" s="88" t="n"/>
    </row>
    <row r="626">
      <c r="I626" s="88" t="n"/>
    </row>
    <row r="627">
      <c r="I627" s="88" t="n"/>
    </row>
    <row r="628">
      <c r="I628" s="88" t="n"/>
    </row>
    <row r="629">
      <c r="I629" s="88" t="n"/>
    </row>
    <row r="630">
      <c r="I630" s="88" t="n"/>
    </row>
    <row r="631">
      <c r="I631" s="88" t="n"/>
    </row>
    <row r="632">
      <c r="I632" s="88" t="n"/>
    </row>
    <row r="633">
      <c r="I633" s="88" t="n"/>
    </row>
    <row r="634">
      <c r="I634" s="88" t="n"/>
    </row>
    <row r="635">
      <c r="A635" t="inlineStr">
        <is>
          <t>2026-03-23</t>
        </is>
      </c>
      <c r="B635" t="inlineStr">
        <is>
          <t>test</t>
        </is>
      </c>
      <c r="C635" t="inlineStr">
        <is>
          <t>1</t>
        </is>
      </c>
      <c r="D635" t="inlineStr">
        <is>
          <t>1</t>
        </is>
      </c>
      <c r="E635" t="n">
        <v>1</v>
      </c>
      <c r="I635" t="inlineStr">
        <is>
          <t>tyest</t>
        </is>
      </c>
      <c r="J635" t="inlineStr">
        <is>
          <t>test</t>
        </is>
      </c>
      <c r="K635" t="inlineStr">
        <is>
          <t>Stock In</t>
        </is>
      </c>
    </row>
  </sheetData>
  <mergeCells count="5">
    <mergeCell ref="B4:K4"/>
    <mergeCell ref="Z2:AG2"/>
    <mergeCell ref="Z4:AC4"/>
    <mergeCell ref="B2:X2"/>
    <mergeCell ref="N4:V4"/>
  </mergeCells>
  <conditionalFormatting sqref="D1 D3 D5:D1048576">
    <cfRule type="duplicateValues" priority="3" dxfId="0"/>
  </conditionalFormatting>
  <conditionalFormatting sqref="AC1:AE1 AC3:AE1048576">
    <cfRule type="cellIs" priority="4" operator="lessThan" dxfId="6">
      <formula>0</formula>
    </cfRule>
    <cfRule type="cellIs" priority="5" operator="lessThan" dxfId="5">
      <formula>0</formula>
    </cfRule>
    <cfRule type="cellIs" priority="6" operator="lessThan" dxfId="4">
      <formula>0</formula>
    </cfRule>
    <cfRule type="cellIs" priority="7" operator="lessThan" dxfId="3">
      <formula>0</formula>
    </cfRule>
    <cfRule type="cellIs" priority="8" operator="lessThan" dxfId="2">
      <formula>0</formula>
    </cfRule>
    <cfRule type="cellIs" priority="9" operator="lessThan" dxfId="0">
      <formula>0</formula>
    </cfRule>
  </conditionalFormatting>
  <conditionalFormatting sqref="AG6:AH57">
    <cfRule type="containsText" priority="1" operator="containsText" dxfId="0" text="CRITICAL">
      <formula>NOT(ISERROR(SEARCH("CRITICAL",AG6)))</formula>
    </cfRule>
  </conditionalFormatting>
  <printOptions horizontalCentered="1" verticalCentered="1"/>
  <pageMargins left="0.3937007874015748" right="0.1574803149606299" top="0.1968503937007874" bottom="0.1574803149606299" header="0.3149606299212598" footer="0.3149606299212598"/>
  <pageSetup orientation="portrait" paperSize="9" scale="85"/>
  <rowBreaks count="2" manualBreakCount="2">
    <brk id="65" min="0" max="16383" man="1"/>
    <brk id="114" min="0" max="16383" man="1"/>
  </rowBreaks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5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4" sqref="F4"/>
    </sheetView>
  </sheetViews>
  <sheetFormatPr baseColWidth="8" defaultRowHeight="15" outlineLevelCol="0"/>
  <cols>
    <col width="15" bestFit="1" customWidth="1" style="64" min="1" max="1"/>
    <col width="32.42578125" bestFit="1" customWidth="1" style="64" min="2" max="2"/>
    <col width="16.42578125" bestFit="1" customWidth="1" style="64" min="3" max="3"/>
    <col width="108.5703125" bestFit="1" customWidth="1" style="64" min="4" max="4"/>
    <col width="16.28515625" customWidth="1" style="64" min="5" max="5"/>
    <col width="9.42578125" bestFit="1" customWidth="1" style="64" min="7" max="7"/>
  </cols>
  <sheetData>
    <row r="1" ht="28.9" customHeight="1" s="64">
      <c r="A1" t="inlineStr">
        <is>
          <t>Product Num</t>
        </is>
      </c>
      <c r="B1" t="inlineStr">
        <is>
          <t>Product Name</t>
        </is>
      </c>
      <c r="C1" t="inlineStr">
        <is>
          <t>Product Group</t>
        </is>
      </c>
      <c r="D1" t="inlineStr">
        <is>
          <t>Product Description</t>
        </is>
      </c>
      <c r="E1" s="18" t="inlineStr">
        <is>
          <t>Supplier Product Code</t>
        </is>
      </c>
      <c r="F1" s="18" t="inlineStr">
        <is>
          <t>Min Levels</t>
        </is>
      </c>
      <c r="G1" s="18" t="inlineStr">
        <is>
          <t>Critical Levels</t>
        </is>
      </c>
    </row>
    <row r="2">
      <c r="A2" t="inlineStr">
        <is>
          <t>IT001</t>
        </is>
      </c>
      <c r="B2" t="inlineStr">
        <is>
          <t>Access Points</t>
        </is>
      </c>
      <c r="C2" t="inlineStr">
        <is>
          <t>Wi-Fi</t>
        </is>
      </c>
      <c r="D2" t="inlineStr">
        <is>
          <t>Wi-Fi Connectivity</t>
        </is>
      </c>
      <c r="F2" t="n">
        <v>2</v>
      </c>
      <c r="G2" t="n">
        <v>1</v>
      </c>
    </row>
    <row r="3">
      <c r="A3" t="inlineStr">
        <is>
          <t>IT002</t>
        </is>
      </c>
      <c r="B3" t="inlineStr">
        <is>
          <t>Android Scanners</t>
        </is>
      </c>
      <c r="C3" t="inlineStr">
        <is>
          <t>Scanners</t>
        </is>
      </c>
      <c r="D3" t="inlineStr">
        <is>
          <t>Meat Matrix Compatible Mobile Solutions</t>
        </is>
      </c>
      <c r="F3" t="n">
        <v>1</v>
      </c>
      <c r="G3" t="n">
        <v>0</v>
      </c>
    </row>
    <row r="4">
      <c r="A4" t="inlineStr">
        <is>
          <t>IT003</t>
        </is>
      </c>
      <c r="B4" t="inlineStr">
        <is>
          <t>Argox Printers ix4-250</t>
        </is>
      </c>
      <c r="C4" t="inlineStr">
        <is>
          <t>Printers</t>
        </is>
      </c>
      <c r="D4" t="inlineStr">
        <is>
          <t>4" DT/TT Printer, Ethernet/USB/RS232</t>
        </is>
      </c>
      <c r="F4" t="n">
        <v>1</v>
      </c>
      <c r="G4" t="n">
        <v>0</v>
      </c>
    </row>
    <row r="5">
      <c r="A5" t="inlineStr">
        <is>
          <t>IT004</t>
        </is>
      </c>
      <c r="B5" t="inlineStr">
        <is>
          <t>Argox Printers ix4-250 Printheads</t>
        </is>
      </c>
      <c r="C5" t="inlineStr">
        <is>
          <t>Printers</t>
        </is>
      </c>
      <c r="D5" t="inlineStr">
        <is>
          <t>A high‑quality thermal printhead designed for Argox iX4‑250 industrial label printers</t>
        </is>
      </c>
      <c r="F5" t="n">
        <v>3</v>
      </c>
      <c r="G5" t="n">
        <v>2</v>
      </c>
    </row>
    <row r="6">
      <c r="A6" t="inlineStr">
        <is>
          <t>IT005</t>
        </is>
      </c>
      <c r="B6" t="inlineStr">
        <is>
          <t>Biometrics - EARB</t>
        </is>
      </c>
      <c r="C6" t="inlineStr">
        <is>
          <t>Biometrics</t>
        </is>
      </c>
      <c r="D6" t="inlineStr">
        <is>
          <t>Biometric access device designed for fingerprint verification</t>
        </is>
      </c>
    </row>
    <row r="7">
      <c r="A7" t="inlineStr">
        <is>
          <t>IT006</t>
        </is>
      </c>
      <c r="B7" t="inlineStr">
        <is>
          <t>Biometrics - VisionPass</t>
        </is>
      </c>
      <c r="C7" t="inlineStr">
        <is>
          <t>Biometrics</t>
        </is>
      </c>
      <c r="D7" t="inlineStr">
        <is>
          <t>Biometric access device designed for facial verification</t>
        </is>
      </c>
    </row>
    <row r="8">
      <c r="A8" t="inlineStr">
        <is>
          <t>IT007</t>
        </is>
      </c>
      <c r="B8" t="inlineStr">
        <is>
          <t>Desktops</t>
        </is>
      </c>
      <c r="C8" t="inlineStr">
        <is>
          <t>Workstations</t>
        </is>
      </c>
      <c r="D8" t="inlineStr">
        <is>
          <t>Personal computer tower designed for everyday office tasks</t>
        </is>
      </c>
      <c r="F8" t="n">
        <v>1</v>
      </c>
      <c r="G8" t="n">
        <v>0</v>
      </c>
    </row>
    <row r="9">
      <c r="A9" t="inlineStr">
        <is>
          <t>IT008</t>
        </is>
      </c>
      <c r="B9" t="inlineStr">
        <is>
          <t>Ethernet to USB adaptors</t>
        </is>
      </c>
      <c r="C9" t="inlineStr">
        <is>
          <t>Accessories</t>
        </is>
      </c>
      <c r="D9" t="inlineStr">
        <is>
          <t>A compact adapter that allows devices without built‑in Ethernet ports to connect to wired networks</t>
        </is>
      </c>
      <c r="F9" t="n">
        <v>3</v>
      </c>
      <c r="G9" t="n">
        <v>1</v>
      </c>
    </row>
    <row r="10">
      <c r="A10" t="inlineStr">
        <is>
          <t>IT010</t>
        </is>
      </c>
      <c r="B10" t="inlineStr">
        <is>
          <t>Fibre - Multi mode (LC to ST)</t>
        </is>
      </c>
      <c r="C10" t="inlineStr">
        <is>
          <t>Network</t>
        </is>
      </c>
      <c r="D10" t="inlineStr">
        <is>
          <t xml:space="preserve">These duplex cables are used with 850nm or 1310nm multimode SFP transceivers, commonly supporting 1GbE or 10GbE </t>
        </is>
      </c>
      <c r="F10" t="n">
        <v>3</v>
      </c>
      <c r="G10" t="n">
        <v>1</v>
      </c>
    </row>
    <row r="11">
      <c r="A11" t="inlineStr">
        <is>
          <t>IT009</t>
        </is>
      </c>
      <c r="B11" t="inlineStr">
        <is>
          <t>Fibre - Multi mode Cables (LC to LC)</t>
        </is>
      </c>
      <c r="C11" t="inlineStr">
        <is>
          <t>Network</t>
        </is>
      </c>
      <c r="D11" t="inlineStr">
        <is>
          <t>Multi-mode LC-to-LC fibre patch cables, used to connect 850nm Multi-mode SFP or SFP+ modules</t>
        </is>
      </c>
      <c r="F11" t="n">
        <v>3</v>
      </c>
      <c r="G11" t="n">
        <v>1</v>
      </c>
    </row>
    <row r="12">
      <c r="A12" t="inlineStr">
        <is>
          <t>IT011</t>
        </is>
      </c>
      <c r="B12" t="inlineStr">
        <is>
          <t>Fibre - Single mode (LC to LC)</t>
        </is>
      </c>
      <c r="C12" t="inlineStr">
        <is>
          <t>Network</t>
        </is>
      </c>
      <c r="D12" t="inlineStr">
        <is>
          <t>Single-mode LC-to-LC fibre patch cables, used to connect 850nm Multi-mode SFP or SFP+ modules</t>
        </is>
      </c>
      <c r="F12" t="n">
        <v>3</v>
      </c>
      <c r="G12" t="n">
        <v>1</v>
      </c>
    </row>
    <row r="13">
      <c r="A13" t="inlineStr">
        <is>
          <t>IT012</t>
        </is>
      </c>
      <c r="B13" t="inlineStr">
        <is>
          <t>GK420T Heads</t>
        </is>
      </c>
      <c r="C13" t="inlineStr">
        <is>
          <t>Printers</t>
        </is>
      </c>
      <c r="D13" t="inlineStr">
        <is>
          <t>For Gk420 203dpi (Direct Thermal) printers</t>
        </is>
      </c>
      <c r="F13" t="n">
        <v>3</v>
      </c>
      <c r="G13" t="n">
        <v>2</v>
      </c>
    </row>
    <row r="14">
      <c r="A14" t="inlineStr">
        <is>
          <t>IT013</t>
        </is>
      </c>
      <c r="B14" t="inlineStr">
        <is>
          <t>Hand Held Scanners</t>
        </is>
      </c>
      <c r="C14" t="inlineStr">
        <is>
          <t>Scanners</t>
        </is>
      </c>
      <c r="D14" t="inlineStr">
        <is>
          <t>A durable and easy‑to‑use handheld barcode scanner designed for fast and accurate data capture.</t>
        </is>
      </c>
      <c r="F14" t="n">
        <v>4</v>
      </c>
      <c r="G14" t="n">
        <v>2</v>
      </c>
    </row>
    <row r="15">
      <c r="A15" t="inlineStr">
        <is>
          <t>IT014</t>
        </is>
      </c>
      <c r="B15" t="inlineStr">
        <is>
          <t>Hand Held Zebra Battery</t>
        </is>
      </c>
      <c r="C15" t="inlineStr">
        <is>
          <t>Scanners</t>
        </is>
      </c>
      <c r="D15" t="inlineStr">
        <is>
          <t>A durable and high‑capacity rechargeable battery designed for Zebra handheld scanners</t>
        </is>
      </c>
      <c r="F15" t="n">
        <v>2</v>
      </c>
      <c r="G15" t="n">
        <v>1</v>
      </c>
    </row>
    <row r="16">
      <c r="A16" t="inlineStr">
        <is>
          <t>IT015</t>
        </is>
      </c>
      <c r="B16" t="inlineStr">
        <is>
          <t>Hard Drives - HDD</t>
        </is>
      </c>
      <c r="C16" t="inlineStr">
        <is>
          <t>Accessories</t>
        </is>
      </c>
      <c r="D16" t="inlineStr">
        <is>
          <t>Reliable mechanical storage drive designed for everyday data storage needs.</t>
        </is>
      </c>
    </row>
    <row r="17">
      <c r="A17" t="inlineStr">
        <is>
          <t>IT016</t>
        </is>
      </c>
      <c r="B17" t="inlineStr">
        <is>
          <t>Hard Drives - SSD</t>
        </is>
      </c>
      <c r="C17" t="inlineStr">
        <is>
          <t>Accessories</t>
        </is>
      </c>
      <c r="D17" t="inlineStr">
        <is>
          <t>Fast and Reliable storage device that uses flash memory instead of moving parts</t>
        </is>
      </c>
      <c r="F17" t="n">
        <v>3</v>
      </c>
      <c r="G17" t="n">
        <v>1</v>
      </c>
    </row>
    <row r="18">
      <c r="A18" t="inlineStr">
        <is>
          <t>IT017</t>
        </is>
      </c>
      <c r="B18" t="inlineStr">
        <is>
          <t>Label Printers</t>
        </is>
      </c>
      <c r="C18" t="inlineStr">
        <is>
          <t>Printers</t>
        </is>
      </c>
      <c r="D18" t="inlineStr">
        <is>
          <t>Reliable thermal label printers used for fast and accurate printing  (Support various label types &amp; sizes)</t>
        </is>
      </c>
      <c r="F18" t="n">
        <v>4</v>
      </c>
      <c r="G18" t="n">
        <v>2</v>
      </c>
    </row>
    <row r="19">
      <c r="A19" t="inlineStr">
        <is>
          <t>IT018</t>
        </is>
      </c>
      <c r="B19" t="inlineStr">
        <is>
          <t>Laptop Bags</t>
        </is>
      </c>
      <c r="C19" t="inlineStr">
        <is>
          <t>Workstations</t>
        </is>
      </c>
      <c r="D19" t="inlineStr">
        <is>
          <t>A durable and lightweight bag designed to safely carry and protect laptops</t>
        </is>
      </c>
      <c r="F19" t="n">
        <v>1</v>
      </c>
      <c r="G19" t="n">
        <v>0</v>
      </c>
    </row>
    <row r="20">
      <c r="A20" t="inlineStr">
        <is>
          <t>IT019</t>
        </is>
      </c>
      <c r="B20" t="inlineStr">
        <is>
          <t>Laptop Chargers</t>
        </is>
      </c>
      <c r="C20" t="inlineStr">
        <is>
          <t>Workstations</t>
        </is>
      </c>
      <c r="D20" t="inlineStr">
        <is>
          <t>A reliable power adapter designed to safely charge and power laptops</t>
        </is>
      </c>
      <c r="F20" t="n">
        <v>2</v>
      </c>
      <c r="G20" t="n">
        <v>1</v>
      </c>
    </row>
    <row r="21">
      <c r="A21" t="inlineStr">
        <is>
          <t>IT020</t>
        </is>
      </c>
      <c r="B21" t="inlineStr">
        <is>
          <t>Laptops</t>
        </is>
      </c>
      <c r="C21" t="inlineStr">
        <is>
          <t>Workstations</t>
        </is>
      </c>
      <c r="D21" t="inlineStr">
        <is>
          <t>A portable and efficient computer designed for everyday business and personal tasks</t>
        </is>
      </c>
      <c r="F21" t="n">
        <v>2</v>
      </c>
      <c r="G21" t="n">
        <v>1</v>
      </c>
    </row>
    <row r="22">
      <c r="A22" t="inlineStr">
        <is>
          <t>IT021</t>
        </is>
      </c>
      <c r="B22" t="inlineStr">
        <is>
          <t>M Class Printers</t>
        </is>
      </c>
      <c r="C22" t="inlineStr">
        <is>
          <t>Printers</t>
        </is>
      </c>
      <c r="D22" t="inlineStr">
        <is>
          <t>A compact and reliable industrial label printer designed for medium‑duty printing tasks</t>
        </is>
      </c>
      <c r="F22" t="n">
        <v>1</v>
      </c>
      <c r="G22" t="n">
        <v>0</v>
      </c>
    </row>
    <row r="23">
      <c r="A23" t="inlineStr">
        <is>
          <t>IT022</t>
        </is>
      </c>
      <c r="B23" t="inlineStr">
        <is>
          <t>MM Stations</t>
        </is>
      </c>
      <c r="C23" t="inlineStr">
        <is>
          <t>Workstations</t>
        </is>
      </c>
      <c r="D23" t="inlineStr">
        <is>
          <t>2025 15" POS System used for meat matrix</t>
        </is>
      </c>
      <c r="F23" t="n">
        <v>4</v>
      </c>
      <c r="G23" t="n">
        <v>2</v>
      </c>
    </row>
    <row r="24">
      <c r="A24" t="inlineStr">
        <is>
          <t>IT023</t>
        </is>
      </c>
      <c r="B24" t="inlineStr">
        <is>
          <t>Monitors</t>
        </is>
      </c>
      <c r="C24" t="inlineStr">
        <is>
          <t>Workstations</t>
        </is>
      </c>
      <c r="D24" t="inlineStr">
        <is>
          <t>A high‑quality display designed for clear and comfortable viewing in office and home environments.</t>
        </is>
      </c>
      <c r="F24" t="n">
        <v>1</v>
      </c>
      <c r="G24" t="n">
        <v>0</v>
      </c>
    </row>
    <row r="25">
      <c r="A25" t="inlineStr">
        <is>
          <t>IT024</t>
        </is>
      </c>
      <c r="B25" t="inlineStr">
        <is>
          <t>Network Cable(1 Roll x 200m)</t>
        </is>
      </c>
      <c r="C25" t="inlineStr">
        <is>
          <t>Network</t>
        </is>
      </c>
      <c r="D25" t="inlineStr">
        <is>
          <t>Bulk ethernet cabling</t>
        </is>
      </c>
      <c r="F25" t="n">
        <v>2</v>
      </c>
      <c r="G25" t="n">
        <v>1</v>
      </c>
    </row>
    <row r="26">
      <c r="A26" t="inlineStr">
        <is>
          <t>IT025</t>
        </is>
      </c>
      <c r="B26" t="inlineStr">
        <is>
          <t>NumPads</t>
        </is>
      </c>
      <c r="C26" t="inlineStr">
        <is>
          <t>Peripherals</t>
        </is>
      </c>
      <c r="D26" t="inlineStr">
        <is>
          <t>A compact numeric keypad designed to provide quick and efficient number entry</t>
        </is>
      </c>
      <c r="F26" t="n">
        <v>5</v>
      </c>
      <c r="G26" t="n">
        <v>2</v>
      </c>
    </row>
    <row r="27">
      <c r="A27" t="inlineStr">
        <is>
          <t>IT026</t>
        </is>
      </c>
      <c r="B27" t="inlineStr">
        <is>
          <t>Phones - Analogue</t>
        </is>
      </c>
      <c r="C27" t="inlineStr">
        <is>
          <t>Voip</t>
        </is>
      </c>
      <c r="D27" t="inlineStr">
        <is>
          <t>A basic and reliable telephone designed for use on traditional analogue telephone lines</t>
        </is>
      </c>
    </row>
    <row r="28">
      <c r="A28" t="inlineStr">
        <is>
          <t>IT027</t>
        </is>
      </c>
      <c r="B28" t="inlineStr">
        <is>
          <t>Phones - Voip</t>
        </is>
      </c>
      <c r="C28" t="inlineStr">
        <is>
          <t>Voip</t>
        </is>
      </c>
      <c r="D28" t="inlineStr">
        <is>
          <t>A modern desk phone designed to make and receive calls over an IP network</t>
        </is>
      </c>
      <c r="F28" t="n">
        <v>3</v>
      </c>
      <c r="G28" t="n">
        <v>1</v>
      </c>
    </row>
    <row r="29">
      <c r="A29" t="inlineStr">
        <is>
          <t>IT028</t>
        </is>
      </c>
      <c r="B29" t="inlineStr">
        <is>
          <t>RAM -DDR4</t>
        </is>
      </c>
      <c r="C29" t="inlineStr">
        <is>
          <t>Accessories</t>
        </is>
      </c>
      <c r="D29" t="inlineStr">
        <is>
          <t>4th Gen (288 pins) 1 channel. Can hold more data, allowing for single consumer sticks of 16, 32GB, &amp; 64GB.</t>
        </is>
      </c>
      <c r="F29" t="n">
        <v>5</v>
      </c>
      <c r="G29" t="n">
        <v>1</v>
      </c>
    </row>
    <row r="30">
      <c r="A30" t="inlineStr">
        <is>
          <t>IT029</t>
        </is>
      </c>
      <c r="B30" t="inlineStr">
        <is>
          <t>RAM -DDR5</t>
        </is>
      </c>
      <c r="C30" t="inlineStr">
        <is>
          <t>Accessories</t>
        </is>
      </c>
      <c r="D30" t="inlineStr">
        <is>
          <t>5th Gen (288 pins) 2 channels. Can hold more data, allowing for single consumer sticks of 16, 32,64 &amp; even 128gbGB.</t>
        </is>
      </c>
      <c r="F30" t="n">
        <v>5</v>
      </c>
      <c r="G30" t="n">
        <v>1</v>
      </c>
    </row>
    <row r="31">
      <c r="A31" t="inlineStr">
        <is>
          <t>IT030</t>
        </is>
      </c>
      <c r="B31" t="inlineStr">
        <is>
          <t>RJ45 Boots</t>
        </is>
      </c>
      <c r="C31" t="inlineStr">
        <is>
          <t>Network</t>
        </is>
      </c>
      <c r="D31" t="inlineStr">
        <is>
          <t>Flexible rubber that slide over Ethernet cables before crimping</t>
        </is>
      </c>
      <c r="F31" t="n">
        <v>10</v>
      </c>
      <c r="G31" t="n">
        <v>5</v>
      </c>
    </row>
    <row r="32">
      <c r="A32" t="inlineStr">
        <is>
          <t>IT031</t>
        </is>
      </c>
      <c r="B32" t="inlineStr">
        <is>
          <t>RJ45 Plugs</t>
        </is>
      </c>
      <c r="C32" t="inlineStr">
        <is>
          <t>Network</t>
        </is>
      </c>
      <c r="D32" t="inlineStr">
        <is>
          <t>A standardized 8-position, 8-contact  male connector used to terminate Ethernet cables for LAN networking</t>
        </is>
      </c>
      <c r="F32" t="n">
        <v>10</v>
      </c>
      <c r="G32" t="n">
        <v>5</v>
      </c>
    </row>
    <row r="33">
      <c r="A33" t="inlineStr">
        <is>
          <t>IT032</t>
        </is>
      </c>
      <c r="B33" t="inlineStr">
        <is>
          <t>SFP Multi-mode Modules</t>
        </is>
      </c>
      <c r="C33" t="inlineStr">
        <is>
          <t>Network</t>
        </is>
      </c>
      <c r="D33" t="inlineStr">
        <is>
          <t>Modules used for short-range data communication, typically supporting distances up to 300m-550m at 1G or 10G speeds</t>
        </is>
      </c>
      <c r="F33" t="n">
        <v>5</v>
      </c>
      <c r="G33" t="n">
        <v>2</v>
      </c>
    </row>
    <row r="34">
      <c r="A34" t="inlineStr">
        <is>
          <t>IT033</t>
        </is>
      </c>
      <c r="B34" t="inlineStr">
        <is>
          <t>SFP Single-mode Modules</t>
        </is>
      </c>
      <c r="C34" t="inlineStr">
        <is>
          <t>Network</t>
        </is>
      </c>
      <c r="D34" t="inlineStr">
        <is>
          <t>Modules for long-distance, high-speed fiber optic data transmission, from 10km to 120km at 1Gbps, 10Gbps</t>
        </is>
      </c>
      <c r="F34" t="n">
        <v>5</v>
      </c>
      <c r="G34" t="n">
        <v>2</v>
      </c>
    </row>
    <row r="35">
      <c r="A35" t="inlineStr">
        <is>
          <t>IT034</t>
        </is>
      </c>
      <c r="B35" t="inlineStr">
        <is>
          <t>Switch - Unmanaged</t>
        </is>
      </c>
      <c r="C35" t="inlineStr">
        <is>
          <t>Switch</t>
        </is>
      </c>
      <c r="D35" t="inlineStr">
        <is>
          <t>Plug‑and‑play network switch designed to expand wired network connections without configuration.</t>
        </is>
      </c>
      <c r="F35" t="n">
        <v>2</v>
      </c>
      <c r="G35" t="n">
        <v>1</v>
      </c>
    </row>
    <row r="36">
      <c r="A36" t="inlineStr">
        <is>
          <t>IT035</t>
        </is>
      </c>
      <c r="B36" t="inlineStr">
        <is>
          <t>Toners - Kyocera 3212</t>
        </is>
      </c>
      <c r="C36" t="inlineStr">
        <is>
          <t>Printers</t>
        </is>
      </c>
      <c r="D36" t="inlineStr">
        <is>
          <t>Replacement Toner for Kyocera 3212</t>
        </is>
      </c>
      <c r="F36" t="n">
        <v>2</v>
      </c>
      <c r="G36" t="n">
        <v>1</v>
      </c>
    </row>
    <row r="37">
      <c r="A37" t="inlineStr">
        <is>
          <t>IT036</t>
        </is>
      </c>
      <c r="B37" t="inlineStr">
        <is>
          <t>Toners - Kyocera 4012</t>
        </is>
      </c>
      <c r="C37" t="inlineStr">
        <is>
          <t>Printers</t>
        </is>
      </c>
      <c r="D37" t="inlineStr">
        <is>
          <t>Replacement Toner for Kyocera 4012</t>
        </is>
      </c>
      <c r="F37" t="n">
        <v>2</v>
      </c>
      <c r="G37" t="n">
        <v>1</v>
      </c>
    </row>
    <row r="38">
      <c r="A38" t="inlineStr">
        <is>
          <t>IT037</t>
        </is>
      </c>
      <c r="B38" t="inlineStr">
        <is>
          <t>Toners - MA4500ix</t>
        </is>
      </c>
      <c r="C38" t="inlineStr">
        <is>
          <t>Printers</t>
        </is>
      </c>
      <c r="D38" t="inlineStr">
        <is>
          <t>Replacement Toner for Kyocera MA4500ix</t>
        </is>
      </c>
      <c r="F38" t="n">
        <v>2</v>
      </c>
      <c r="G38" t="n">
        <v>1</v>
      </c>
    </row>
    <row r="39">
      <c r="A39" t="inlineStr">
        <is>
          <t>IT038</t>
        </is>
      </c>
      <c r="B39" t="inlineStr">
        <is>
          <t>Toners - Olivetti C2335</t>
        </is>
      </c>
      <c r="C39" t="inlineStr">
        <is>
          <t>Printers</t>
        </is>
      </c>
      <c r="D39" t="inlineStr">
        <is>
          <t>Replacement Toner for Olivetti C2335</t>
        </is>
      </c>
      <c r="F39" t="n">
        <v>2</v>
      </c>
      <c r="G39" t="n">
        <v>1</v>
      </c>
    </row>
    <row r="40">
      <c r="A40" t="inlineStr">
        <is>
          <t>IT039</t>
        </is>
      </c>
      <c r="B40" t="inlineStr">
        <is>
          <t>Turnstile Relays</t>
        </is>
      </c>
      <c r="C40" t="inlineStr">
        <is>
          <t>Biometrics</t>
        </is>
      </c>
      <c r="D40" t="inlineStr">
        <is>
          <t>A reliable control relay designed for use in turnstile access systems</t>
        </is>
      </c>
      <c r="F40" t="n">
        <v>2</v>
      </c>
      <c r="G40" t="n">
        <v>1</v>
      </c>
    </row>
    <row r="41">
      <c r="A41" t="inlineStr">
        <is>
          <t>IT040</t>
        </is>
      </c>
      <c r="B41" t="inlineStr">
        <is>
          <t>Type B Cell Chargers</t>
        </is>
      </c>
      <c r="C41" t="inlineStr">
        <is>
          <t>Scanners</t>
        </is>
      </c>
      <c r="D41" t="inlineStr">
        <is>
          <t xml:space="preserve"> A compact and reliable charger designed for recharging Type B compatible devices</t>
        </is>
      </c>
      <c r="F41" t="n">
        <v>5</v>
      </c>
      <c r="G41" t="n">
        <v>2</v>
      </c>
    </row>
    <row r="42">
      <c r="A42" t="inlineStr">
        <is>
          <t>IT041</t>
        </is>
      </c>
      <c r="B42" t="inlineStr">
        <is>
          <t>Type C Cell Chargers</t>
        </is>
      </c>
      <c r="C42" t="inlineStr">
        <is>
          <t>Scanners</t>
        </is>
      </c>
      <c r="D42" t="inlineStr">
        <is>
          <t xml:space="preserve"> A compact and reliable charger designed for recharging Type B compatible devices</t>
        </is>
      </c>
      <c r="F42" t="n">
        <v>5</v>
      </c>
      <c r="G42" t="n">
        <v>2</v>
      </c>
    </row>
    <row r="43">
      <c r="A43" t="inlineStr">
        <is>
          <t>IT043</t>
        </is>
      </c>
      <c r="B43" t="inlineStr">
        <is>
          <t>UBNT Nano Stations</t>
        </is>
      </c>
      <c r="C43" t="inlineStr">
        <is>
          <t>Wi-Fi</t>
        </is>
      </c>
      <c r="D43" t="inlineStr">
        <is>
          <t>A high‑performance wireless device designed for long‑range point‑to‑point and point‑to‑multipoint connections.</t>
        </is>
      </c>
      <c r="F43" t="n">
        <v>2</v>
      </c>
      <c r="G43" t="n">
        <v>1</v>
      </c>
    </row>
    <row r="44">
      <c r="A44" t="inlineStr">
        <is>
          <t>IT044</t>
        </is>
      </c>
      <c r="B44" t="inlineStr">
        <is>
          <t>UPS - Desktop</t>
        </is>
      </c>
      <c r="C44" t="inlineStr">
        <is>
          <t>Accessories</t>
        </is>
      </c>
      <c r="D44" t="inlineStr">
        <is>
          <t>An Uninterruptible Power Supply (UPS) designed to provide backup power</t>
        </is>
      </c>
      <c r="F44" t="n">
        <v>2</v>
      </c>
      <c r="G44" t="n">
        <v>1</v>
      </c>
    </row>
    <row r="45">
      <c r="A45" t="inlineStr">
        <is>
          <t>IT045</t>
        </is>
      </c>
      <c r="B45" t="inlineStr">
        <is>
          <t>UPS - 12v</t>
        </is>
      </c>
      <c r="C45" t="inlineStr">
        <is>
          <t>Accessories</t>
        </is>
      </c>
      <c r="D45" t="inlineStr">
        <is>
          <t>A reliable 12‑volt rechargeable battery designed to provide stable power</t>
        </is>
      </c>
      <c r="F45" t="n">
        <v>2</v>
      </c>
      <c r="G45" t="n">
        <v>1</v>
      </c>
    </row>
    <row r="46">
      <c r="A46" t="inlineStr">
        <is>
          <t>IT046</t>
        </is>
      </c>
      <c r="B46" t="inlineStr">
        <is>
          <t>USB Hubs</t>
        </is>
      </c>
      <c r="C46" t="inlineStr">
        <is>
          <t>Peripherals</t>
        </is>
      </c>
      <c r="D46" t="inlineStr">
        <is>
          <t>A single USB port into several, allowing you to connect multiple devices</t>
        </is>
      </c>
      <c r="F46" t="n">
        <v>5</v>
      </c>
      <c r="G46" t="n">
        <v>2</v>
      </c>
    </row>
    <row r="47">
      <c r="A47" t="inlineStr">
        <is>
          <t>IT047</t>
        </is>
      </c>
      <c r="B47" t="inlineStr">
        <is>
          <t>USB Wi-Fi Dongle</t>
        </is>
      </c>
      <c r="C47" t="inlineStr">
        <is>
          <t>Wi-Fi</t>
        </is>
      </c>
      <c r="D47" t="inlineStr">
        <is>
          <t>Plugs into a USB port and acts as an external antenna</t>
        </is>
      </c>
      <c r="F47" t="n">
        <v>5</v>
      </c>
      <c r="G47" t="n">
        <v>2</v>
      </c>
    </row>
    <row r="48">
      <c r="A48" t="inlineStr">
        <is>
          <t>IT048</t>
        </is>
      </c>
      <c r="B48" t="inlineStr">
        <is>
          <t>WiFi Extenders</t>
        </is>
      </c>
      <c r="C48" t="inlineStr">
        <is>
          <t>Wi-Fi</t>
        </is>
      </c>
      <c r="D48" t="inlineStr">
        <is>
          <t>Plugs directly into a wall outlet between your router and the dead zone</t>
        </is>
      </c>
      <c r="F48" t="n">
        <v>2</v>
      </c>
      <c r="G48" t="n">
        <v>1</v>
      </c>
    </row>
    <row r="49">
      <c r="A49" t="inlineStr">
        <is>
          <t>IT049</t>
        </is>
      </c>
      <c r="B49" t="inlineStr">
        <is>
          <t>Wired Keyboards</t>
        </is>
      </c>
      <c r="C49" t="inlineStr">
        <is>
          <t>Peripherals</t>
        </is>
      </c>
      <c r="D49" t="inlineStr">
        <is>
          <t>Plug cable into usb port, devices has a cord</t>
        </is>
      </c>
      <c r="F49" t="n">
        <v>5</v>
      </c>
      <c r="G49" t="n">
        <v>2</v>
      </c>
    </row>
    <row r="50">
      <c r="A50" t="inlineStr">
        <is>
          <t>IT050</t>
        </is>
      </c>
      <c r="B50" t="inlineStr">
        <is>
          <t>Wired Keyboards &amp; Mouse Combos</t>
        </is>
      </c>
      <c r="C50" t="inlineStr">
        <is>
          <t>Peripherals</t>
        </is>
      </c>
      <c r="D50" t="inlineStr">
        <is>
          <t>A reliable, plug‑and‑play keyboard and mouse set designed for everyday office and home use.</t>
        </is>
      </c>
      <c r="F50" t="n">
        <v>5</v>
      </c>
      <c r="G50" t="n">
        <v>2</v>
      </c>
    </row>
    <row r="51">
      <c r="A51" t="inlineStr">
        <is>
          <t>IT051</t>
        </is>
      </c>
      <c r="B51" t="inlineStr">
        <is>
          <t>Wired Mouse</t>
        </is>
      </c>
      <c r="C51" t="inlineStr">
        <is>
          <t>Peripherals</t>
        </is>
      </c>
      <c r="D51" t="inlineStr">
        <is>
          <t>Plug cable into usb port, devices has a cord</t>
        </is>
      </c>
      <c r="F51" t="n">
        <v>5</v>
      </c>
      <c r="G51" t="n">
        <v>2</v>
      </c>
    </row>
    <row r="52">
      <c r="A52" t="inlineStr">
        <is>
          <t>IT052</t>
        </is>
      </c>
      <c r="B52" t="inlineStr">
        <is>
          <t>Wireless Keyboard &amp; Mouse</t>
        </is>
      </c>
      <c r="C52" t="inlineStr">
        <is>
          <t>Peripherals</t>
        </is>
      </c>
      <c r="D52" t="inlineStr">
        <is>
          <t>Plug cable into usb port, devices has no cord</t>
        </is>
      </c>
      <c r="F52" t="n">
        <v>2</v>
      </c>
      <c r="G52" t="n">
        <v>1</v>
      </c>
    </row>
    <row r="53">
      <c r="A53" t="inlineStr">
        <is>
          <t>IT053</t>
        </is>
      </c>
      <c r="B53" t="inlineStr">
        <is>
          <t>Wireless Mouse</t>
        </is>
      </c>
      <c r="C53" t="inlineStr">
        <is>
          <t>Peripherals</t>
        </is>
      </c>
      <c r="D53" t="inlineStr">
        <is>
          <t>Plug cable into usb port, devices has no cord</t>
        </is>
      </c>
      <c r="F53" t="n">
        <v>2</v>
      </c>
      <c r="G53" t="n">
        <v>1</v>
      </c>
    </row>
    <row r="54">
      <c r="B54" t="inlineStr">
        <is>
          <t>Networking</t>
        </is>
      </c>
    </row>
    <row r="55">
      <c r="A55" t="inlineStr">
        <is>
          <t>Test</t>
        </is>
      </c>
      <c r="B55" t="inlineStr">
        <is>
          <t>Test</t>
        </is>
      </c>
      <c r="C55" t="inlineStr">
        <is>
          <t>Test</t>
        </is>
      </c>
      <c r="D55" t="inlineStr">
        <is>
          <t>Test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8">
    <outlinePr summaryBelow="1" summaryRight="1"/>
    <pageSetUpPr/>
  </sheetPr>
  <dimension ref="A1:E1"/>
  <sheetViews>
    <sheetView topLeftCell="E1" workbookViewId="0">
      <selection activeCell="R29" sqref="R25:R29"/>
    </sheetView>
  </sheetViews>
  <sheetFormatPr baseColWidth="8" defaultRowHeight="15" outlineLevelCol="0"/>
  <cols>
    <col width="12.85546875" customWidth="1" style="64" min="4" max="4"/>
    <col width="10.85546875" customWidth="1" style="64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StartDate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K79"/>
  <sheetViews>
    <sheetView tabSelected="1" topLeftCell="A61" workbookViewId="0">
      <selection activeCell="K73" sqref="K73"/>
    </sheetView>
  </sheetViews>
  <sheetFormatPr baseColWidth="8" defaultRowHeight="15" outlineLevelCol="0"/>
  <cols>
    <col width="10.42578125" bestFit="1" customWidth="1" style="64" min="1" max="1"/>
    <col width="32.28515625" bestFit="1" customWidth="1" style="64" min="2" max="2"/>
    <col width="17.28515625" bestFit="1" customWidth="1" style="55" min="3" max="3"/>
    <col width="16.140625" bestFit="1" customWidth="1" style="64" min="4" max="4"/>
    <col width="11" bestFit="1" customWidth="1" style="64" min="5" max="5"/>
    <col width="17.42578125" bestFit="1" customWidth="1" style="64" min="6" max="6"/>
    <col width="13.7109375" bestFit="1" customWidth="1" style="64" min="7" max="7"/>
    <col width="12" bestFit="1" customWidth="1" style="64" min="8" max="8"/>
    <col width="14.140625" bestFit="1" customWidth="1" style="64" min="9" max="9"/>
    <col width="12.85546875" bestFit="1" customWidth="1" style="64" min="10" max="10"/>
    <col width="9.28515625" bestFit="1" customWidth="1" style="64" min="11" max="12"/>
  </cols>
  <sheetData>
    <row r="1">
      <c r="A1" t="inlineStr">
        <is>
          <t>Date</t>
        </is>
      </c>
      <c r="B1" t="inlineStr">
        <is>
          <t>Product</t>
        </is>
      </c>
      <c r="C1" s="55" t="inlineStr">
        <is>
          <t>Serial Num</t>
        </is>
      </c>
      <c r="D1" t="inlineStr">
        <is>
          <t>Make &amp; Model</t>
        </is>
      </c>
      <c r="E1" t="inlineStr">
        <is>
          <t>Quantity</t>
        </is>
      </c>
      <c r="F1" t="inlineStr">
        <is>
          <t>Asset / Inv Num</t>
        </is>
      </c>
      <c r="G1" t="inlineStr">
        <is>
          <t>Capex Num</t>
        </is>
      </c>
      <c r="H1" t="inlineStr">
        <is>
          <t>Price excl</t>
        </is>
      </c>
      <c r="I1" t="inlineStr">
        <is>
          <t>Department</t>
        </is>
      </c>
      <c r="J1" t="inlineStr">
        <is>
          <t>PC Name</t>
        </is>
      </c>
      <c r="K1" t="inlineStr">
        <is>
          <t>Stock</t>
        </is>
      </c>
    </row>
    <row r="2">
      <c r="A2" s="28" t="n">
        <v>46078</v>
      </c>
      <c r="B2" t="inlineStr">
        <is>
          <t>Label Printers</t>
        </is>
      </c>
      <c r="C2" s="55" t="inlineStr">
        <is>
          <t>29J220201531</t>
        </is>
      </c>
      <c r="D2" t="inlineStr">
        <is>
          <t>Zebra GK420t</t>
        </is>
      </c>
      <c r="E2" t="n">
        <v>1</v>
      </c>
      <c r="I2" t="inlineStr">
        <is>
          <t>IT</t>
        </is>
      </c>
      <c r="K2" t="inlineStr">
        <is>
          <t>Stock In</t>
        </is>
      </c>
    </row>
    <row r="3">
      <c r="A3" s="28" t="n">
        <v>46079</v>
      </c>
      <c r="B3" t="inlineStr">
        <is>
          <t>Label Printers</t>
        </is>
      </c>
      <c r="C3" s="55" t="inlineStr">
        <is>
          <t>29J220201531</t>
        </is>
      </c>
      <c r="D3" t="inlineStr">
        <is>
          <t>Zebra GK420t</t>
        </is>
      </c>
      <c r="E3" t="n">
        <v>1</v>
      </c>
      <c r="F3" t="n">
        <v>0</v>
      </c>
      <c r="G3" t="n">
        <v>0</v>
      </c>
      <c r="H3" t="n">
        <v>0</v>
      </c>
      <c r="I3" t="inlineStr">
        <is>
          <t>Bacon</t>
        </is>
      </c>
      <c r="J3" t="inlineStr">
        <is>
          <t>ESTBaconIn</t>
        </is>
      </c>
      <c r="K3" t="inlineStr">
        <is>
          <t>Stock Out</t>
        </is>
      </c>
    </row>
    <row r="4">
      <c r="A4" s="28" t="n">
        <v>46080</v>
      </c>
      <c r="B4" t="inlineStr">
        <is>
          <t>Label Printers</t>
        </is>
      </c>
      <c r="C4" s="55" t="inlineStr">
        <is>
          <t>29J220201531</t>
        </is>
      </c>
      <c r="D4" t="inlineStr">
        <is>
          <t>Zebra GK420t</t>
        </is>
      </c>
      <c r="E4" t="n">
        <v>1</v>
      </c>
      <c r="I4" t="inlineStr">
        <is>
          <t>IT</t>
        </is>
      </c>
      <c r="K4" t="inlineStr">
        <is>
          <t>Stock In</t>
        </is>
      </c>
    </row>
    <row r="5">
      <c r="A5" s="28" t="n">
        <v>46081</v>
      </c>
      <c r="B5" t="inlineStr">
        <is>
          <t>NumPads</t>
        </is>
      </c>
      <c r="E5" t="n">
        <v>1</v>
      </c>
      <c r="I5" t="inlineStr">
        <is>
          <t>IT</t>
        </is>
      </c>
      <c r="K5" t="inlineStr">
        <is>
          <t>Stock In</t>
        </is>
      </c>
    </row>
    <row r="6">
      <c r="A6" s="28" t="n">
        <v>46081</v>
      </c>
      <c r="B6" t="inlineStr">
        <is>
          <t>Wired Keyboards</t>
        </is>
      </c>
      <c r="E6" t="n">
        <v>6</v>
      </c>
      <c r="I6" t="inlineStr">
        <is>
          <t>IT</t>
        </is>
      </c>
      <c r="K6" t="inlineStr">
        <is>
          <t>Stock In</t>
        </is>
      </c>
    </row>
    <row r="7">
      <c r="A7" s="28" t="n">
        <v>46081</v>
      </c>
      <c r="B7" t="inlineStr">
        <is>
          <t>Wired Mouse</t>
        </is>
      </c>
      <c r="E7" t="n">
        <v>3</v>
      </c>
      <c r="I7" t="inlineStr">
        <is>
          <t>IT</t>
        </is>
      </c>
      <c r="K7" t="inlineStr">
        <is>
          <t>Stock In</t>
        </is>
      </c>
    </row>
    <row r="8">
      <c r="A8" s="28" t="n">
        <v>46081</v>
      </c>
      <c r="B8" t="inlineStr">
        <is>
          <t>Wired Keyboards &amp; Mouse Combos</t>
        </is>
      </c>
      <c r="E8" t="n">
        <v>10</v>
      </c>
      <c r="I8" t="inlineStr">
        <is>
          <t>IT</t>
        </is>
      </c>
      <c r="K8" t="inlineStr">
        <is>
          <t>Stock In</t>
        </is>
      </c>
    </row>
    <row r="9">
      <c r="A9" s="28" t="n">
        <v>46081</v>
      </c>
      <c r="B9" t="inlineStr">
        <is>
          <t>Phones - Voip</t>
        </is>
      </c>
      <c r="C9" s="55" t="inlineStr">
        <is>
          <t>23WZ370002H0</t>
        </is>
      </c>
      <c r="D9" t="inlineStr">
        <is>
          <t>Avaya</t>
        </is>
      </c>
      <c r="E9" t="n">
        <v>1</v>
      </c>
      <c r="I9" t="inlineStr">
        <is>
          <t>IT</t>
        </is>
      </c>
      <c r="K9" t="inlineStr">
        <is>
          <t>Stock In</t>
        </is>
      </c>
    </row>
    <row r="10">
      <c r="A10" s="28" t="n">
        <v>46081</v>
      </c>
      <c r="B10" t="inlineStr">
        <is>
          <t>Phones - Voip</t>
        </is>
      </c>
      <c r="C10" s="55" t="inlineStr">
        <is>
          <t>23W236400120</t>
        </is>
      </c>
      <c r="D10" t="inlineStr">
        <is>
          <t>Avaya</t>
        </is>
      </c>
      <c r="E10" t="n">
        <v>1</v>
      </c>
      <c r="I10" t="inlineStr">
        <is>
          <t>IT</t>
        </is>
      </c>
      <c r="K10" t="inlineStr">
        <is>
          <t>Stock In</t>
        </is>
      </c>
    </row>
    <row r="11">
      <c r="A11" s="28" t="n">
        <v>46081</v>
      </c>
      <c r="B11" t="inlineStr">
        <is>
          <t>Phones - Voip</t>
        </is>
      </c>
      <c r="C11" s="55" t="inlineStr">
        <is>
          <t>23WZ364000PC</t>
        </is>
      </c>
      <c r="D11" t="inlineStr">
        <is>
          <t>Avaya</t>
        </is>
      </c>
      <c r="E11" t="n">
        <v>1</v>
      </c>
      <c r="I11" t="inlineStr">
        <is>
          <t>IT</t>
        </is>
      </c>
      <c r="K11" t="inlineStr">
        <is>
          <t>Stock In</t>
        </is>
      </c>
    </row>
    <row r="12">
      <c r="A12" s="28" t="n">
        <v>46081</v>
      </c>
      <c r="B12" t="inlineStr">
        <is>
          <t>Phones - Voip</t>
        </is>
      </c>
      <c r="C12" s="55" t="inlineStr">
        <is>
          <t>23WZ364000P9</t>
        </is>
      </c>
      <c r="D12" t="inlineStr">
        <is>
          <t>Avaya</t>
        </is>
      </c>
      <c r="E12" t="n">
        <v>1</v>
      </c>
      <c r="I12" t="inlineStr">
        <is>
          <t>IT</t>
        </is>
      </c>
      <c r="K12" t="inlineStr">
        <is>
          <t>Stock In</t>
        </is>
      </c>
    </row>
    <row r="13">
      <c r="A13" s="28" t="n">
        <v>46081</v>
      </c>
      <c r="B13" t="inlineStr">
        <is>
          <t>Phones - Voip</t>
        </is>
      </c>
      <c r="C13" s="55" t="inlineStr">
        <is>
          <t>23WZ2600008R</t>
        </is>
      </c>
      <c r="D13" t="inlineStr">
        <is>
          <t>Avaya</t>
        </is>
      </c>
      <c r="E13" t="n">
        <v>1</v>
      </c>
      <c r="I13" t="inlineStr">
        <is>
          <t>IT</t>
        </is>
      </c>
      <c r="K13" t="inlineStr">
        <is>
          <t>Stock In</t>
        </is>
      </c>
    </row>
    <row r="14">
      <c r="A14" s="28" t="n">
        <v>46081</v>
      </c>
      <c r="B14" t="inlineStr">
        <is>
          <t>Phones - Voip</t>
        </is>
      </c>
      <c r="C14" s="55" t="inlineStr">
        <is>
          <t>23WZ364000WP</t>
        </is>
      </c>
      <c r="D14" t="inlineStr">
        <is>
          <t>Avaya</t>
        </is>
      </c>
      <c r="E14" t="n">
        <v>1</v>
      </c>
      <c r="I14" t="inlineStr">
        <is>
          <t>IT</t>
        </is>
      </c>
      <c r="K14" t="inlineStr">
        <is>
          <t>Stock In</t>
        </is>
      </c>
    </row>
    <row r="15">
      <c r="A15" s="28" t="n">
        <v>46081</v>
      </c>
      <c r="B15" t="inlineStr">
        <is>
          <t>Phones - Voip</t>
        </is>
      </c>
      <c r="C15" s="55" t="inlineStr">
        <is>
          <t>23WZ3640007R</t>
        </is>
      </c>
      <c r="D15" t="inlineStr">
        <is>
          <t>Avaya</t>
        </is>
      </c>
      <c r="E15" t="n">
        <v>1</v>
      </c>
      <c r="I15" t="inlineStr">
        <is>
          <t>IT</t>
        </is>
      </c>
      <c r="K15" t="inlineStr">
        <is>
          <t>Stock In</t>
        </is>
      </c>
    </row>
    <row r="16">
      <c r="A16" s="28" t="n">
        <v>46081</v>
      </c>
      <c r="B16" t="inlineStr">
        <is>
          <t>Phones - Voip</t>
        </is>
      </c>
      <c r="C16" s="55" t="inlineStr">
        <is>
          <t>23WZ364000RC</t>
        </is>
      </c>
      <c r="D16" t="inlineStr">
        <is>
          <t>Avaya</t>
        </is>
      </c>
      <c r="E16" t="n">
        <v>1</v>
      </c>
      <c r="I16" t="inlineStr">
        <is>
          <t>IT</t>
        </is>
      </c>
      <c r="K16" t="inlineStr">
        <is>
          <t>Stock In</t>
        </is>
      </c>
    </row>
    <row r="17">
      <c r="A17" s="28" t="n">
        <v>46081</v>
      </c>
      <c r="B17" t="inlineStr">
        <is>
          <t>Phones - Voip</t>
        </is>
      </c>
      <c r="C17" s="55" t="inlineStr">
        <is>
          <t>23WZ364000XK</t>
        </is>
      </c>
      <c r="D17" t="inlineStr">
        <is>
          <t>Avaya</t>
        </is>
      </c>
      <c r="E17" t="n">
        <v>1</v>
      </c>
      <c r="I17" t="inlineStr">
        <is>
          <t>IT</t>
        </is>
      </c>
      <c r="K17" t="inlineStr">
        <is>
          <t>Stock In</t>
        </is>
      </c>
    </row>
    <row r="18">
      <c r="A18" s="28" t="n">
        <v>46081</v>
      </c>
      <c r="B18" t="inlineStr">
        <is>
          <t>Phones - Voip</t>
        </is>
      </c>
      <c r="C18" s="55" t="inlineStr">
        <is>
          <t>8010403F03605338</t>
        </is>
      </c>
      <c r="D18" t="inlineStr">
        <is>
          <t>YeaLink</t>
        </is>
      </c>
      <c r="E18" t="n">
        <v>1</v>
      </c>
      <c r="I18" t="inlineStr">
        <is>
          <t>IT</t>
        </is>
      </c>
      <c r="K18" t="inlineStr">
        <is>
          <t>Stock In</t>
        </is>
      </c>
    </row>
    <row r="19">
      <c r="A19" s="28" t="n">
        <v>46081</v>
      </c>
      <c r="B19" t="inlineStr">
        <is>
          <t>Phones - Analogue</t>
        </is>
      </c>
      <c r="C19" s="55" t="inlineStr">
        <is>
          <t>KKBY535521X</t>
        </is>
      </c>
      <c r="D19" t="inlineStr">
        <is>
          <t>Samsung</t>
        </is>
      </c>
      <c r="E19" t="n">
        <v>1</v>
      </c>
      <c r="I19" t="inlineStr">
        <is>
          <t>IT</t>
        </is>
      </c>
      <c r="K19" t="inlineStr">
        <is>
          <t>Stock In</t>
        </is>
      </c>
    </row>
    <row r="20">
      <c r="A20" s="28" t="n">
        <v>46081</v>
      </c>
      <c r="B20" t="inlineStr">
        <is>
          <t>Hand Held Scanners</t>
        </is>
      </c>
      <c r="C20" s="55" t="inlineStr">
        <is>
          <t>25113523706792</t>
        </is>
      </c>
      <c r="D20" t="inlineStr">
        <is>
          <t>Zebra DS 2278</t>
        </is>
      </c>
      <c r="E20" t="n">
        <v>1</v>
      </c>
      <c r="I20" t="inlineStr">
        <is>
          <t>IT</t>
        </is>
      </c>
      <c r="K20" t="inlineStr">
        <is>
          <t>Stock In</t>
        </is>
      </c>
    </row>
    <row r="21">
      <c r="A21" s="28" t="n">
        <v>46081</v>
      </c>
      <c r="B21" t="inlineStr">
        <is>
          <t>Hand Held Scanners</t>
        </is>
      </c>
      <c r="C21" s="55" t="inlineStr">
        <is>
          <t>25013523704999</t>
        </is>
      </c>
      <c r="D21" t="inlineStr">
        <is>
          <t>Zebra DS 2278</t>
        </is>
      </c>
      <c r="E21" t="n">
        <v>1</v>
      </c>
      <c r="I21" t="inlineStr">
        <is>
          <t>IT</t>
        </is>
      </c>
      <c r="K21" t="inlineStr">
        <is>
          <t>Stock In</t>
        </is>
      </c>
    </row>
    <row r="22">
      <c r="A22" s="28" t="n">
        <v>46081</v>
      </c>
      <c r="B22" t="inlineStr">
        <is>
          <t>Hand Held Scanners</t>
        </is>
      </c>
      <c r="C22" s="55" t="inlineStr">
        <is>
          <t>25013523704961</t>
        </is>
      </c>
      <c r="D22" t="inlineStr">
        <is>
          <t>Zebra DS 2278</t>
        </is>
      </c>
      <c r="E22" t="n">
        <v>1</v>
      </c>
      <c r="I22" t="inlineStr">
        <is>
          <t>IT</t>
        </is>
      </c>
      <c r="K22" t="inlineStr">
        <is>
          <t>Stock In</t>
        </is>
      </c>
    </row>
    <row r="23">
      <c r="A23" s="28" t="n">
        <v>46081</v>
      </c>
      <c r="B23" t="inlineStr">
        <is>
          <t>USB Hubs</t>
        </is>
      </c>
      <c r="E23" t="n">
        <v>7</v>
      </c>
      <c r="I23" t="inlineStr">
        <is>
          <t>IT</t>
        </is>
      </c>
      <c r="K23" t="inlineStr">
        <is>
          <t>Stock In</t>
        </is>
      </c>
    </row>
    <row r="24">
      <c r="A24" s="28" t="n">
        <v>46081</v>
      </c>
      <c r="B24" t="inlineStr">
        <is>
          <t>Ethernet to USB adaptors</t>
        </is>
      </c>
      <c r="E24" t="n">
        <v>4</v>
      </c>
      <c r="I24" t="inlineStr">
        <is>
          <t>IT</t>
        </is>
      </c>
      <c r="K24" t="inlineStr">
        <is>
          <t>Stock In</t>
        </is>
      </c>
    </row>
    <row r="25">
      <c r="A25" s="28" t="n">
        <v>46081</v>
      </c>
      <c r="B25" t="inlineStr">
        <is>
          <t>USB Web Cam</t>
        </is>
      </c>
      <c r="E25" t="n">
        <v>2</v>
      </c>
      <c r="I25" t="inlineStr">
        <is>
          <t>IT</t>
        </is>
      </c>
      <c r="K25" t="inlineStr">
        <is>
          <t>Stock In</t>
        </is>
      </c>
    </row>
    <row r="26">
      <c r="A26" s="28" t="n">
        <v>46081</v>
      </c>
      <c r="B26" t="inlineStr">
        <is>
          <t>Switch - Unmanaged</t>
        </is>
      </c>
      <c r="E26" t="n">
        <v>9</v>
      </c>
      <c r="I26" t="inlineStr">
        <is>
          <t>IT</t>
        </is>
      </c>
      <c r="K26" t="inlineStr">
        <is>
          <t>Stock In</t>
        </is>
      </c>
    </row>
    <row r="27">
      <c r="A27" s="28" t="n">
        <v>46081</v>
      </c>
      <c r="B27" t="inlineStr">
        <is>
          <t>Hard Drives - HDD</t>
        </is>
      </c>
      <c r="E27" t="n">
        <v>7</v>
      </c>
      <c r="I27" t="inlineStr">
        <is>
          <t>IT</t>
        </is>
      </c>
      <c r="K27" t="inlineStr">
        <is>
          <t>Stock In</t>
        </is>
      </c>
    </row>
    <row r="28">
      <c r="A28" s="28" t="n">
        <v>46081</v>
      </c>
      <c r="B28" t="inlineStr">
        <is>
          <t>Hard Drives - SSD</t>
        </is>
      </c>
      <c r="E28" t="n">
        <v>1</v>
      </c>
      <c r="I28" t="inlineStr">
        <is>
          <t>IT</t>
        </is>
      </c>
      <c r="K28" t="inlineStr">
        <is>
          <t>Stock In</t>
        </is>
      </c>
    </row>
    <row r="29">
      <c r="A29" s="28" t="n">
        <v>46081</v>
      </c>
      <c r="B29" t="inlineStr">
        <is>
          <t>Label Printers</t>
        </is>
      </c>
      <c r="C29" s="55" t="inlineStr">
        <is>
          <t>29J173600541</t>
        </is>
      </c>
      <c r="D29" t="inlineStr">
        <is>
          <t>Zebra ZD230</t>
        </is>
      </c>
      <c r="E29" t="n">
        <v>1</v>
      </c>
      <c r="I29" t="inlineStr">
        <is>
          <t>IT</t>
        </is>
      </c>
      <c r="K29" t="inlineStr">
        <is>
          <t>Stock In</t>
        </is>
      </c>
    </row>
    <row r="30">
      <c r="A30" s="28" t="n">
        <v>46081</v>
      </c>
      <c r="B30" t="inlineStr">
        <is>
          <t>Label Printers</t>
        </is>
      </c>
      <c r="C30" s="55" t="inlineStr">
        <is>
          <t>28J174600908</t>
        </is>
      </c>
      <c r="D30" t="inlineStr">
        <is>
          <t>Zebra ZD230</t>
        </is>
      </c>
      <c r="E30" t="n">
        <v>1</v>
      </c>
      <c r="I30" t="inlineStr">
        <is>
          <t>IT</t>
        </is>
      </c>
      <c r="K30" t="inlineStr">
        <is>
          <t>Stock In</t>
        </is>
      </c>
    </row>
    <row r="31">
      <c r="A31" s="28" t="n">
        <v>46081</v>
      </c>
      <c r="B31" t="inlineStr">
        <is>
          <t>Label Printers</t>
        </is>
      </c>
      <c r="C31" s="55" t="inlineStr">
        <is>
          <t>D4J251803235</t>
        </is>
      </c>
      <c r="D31" t="inlineStr">
        <is>
          <t>Zebra GK420t</t>
        </is>
      </c>
      <c r="E31" t="n">
        <v>1</v>
      </c>
      <c r="I31" t="inlineStr">
        <is>
          <t>IT</t>
        </is>
      </c>
      <c r="K31" t="inlineStr">
        <is>
          <t>Stock In</t>
        </is>
      </c>
    </row>
    <row r="32">
      <c r="A32" s="28" t="n">
        <v>46081</v>
      </c>
      <c r="B32" t="inlineStr">
        <is>
          <t>Label Printers</t>
        </is>
      </c>
      <c r="C32" s="55" t="inlineStr">
        <is>
          <t>D5J202602178</t>
        </is>
      </c>
      <c r="D32" t="inlineStr">
        <is>
          <t>Zebra GK420d</t>
        </is>
      </c>
      <c r="E32" t="n">
        <v>1</v>
      </c>
      <c r="I32" t="inlineStr">
        <is>
          <t>IT</t>
        </is>
      </c>
      <c r="K32" t="inlineStr">
        <is>
          <t>Stock In</t>
        </is>
      </c>
    </row>
    <row r="33">
      <c r="A33" s="28" t="n">
        <v>46081</v>
      </c>
      <c r="B33" t="inlineStr">
        <is>
          <t>Label Printers</t>
        </is>
      </c>
      <c r="C33" s="55" t="inlineStr">
        <is>
          <t>D4J244908462</t>
        </is>
      </c>
      <c r="D33" t="inlineStr">
        <is>
          <t>Zebra ZD230</t>
        </is>
      </c>
      <c r="E33" t="n">
        <v>1</v>
      </c>
      <c r="I33" t="inlineStr">
        <is>
          <t>IT</t>
        </is>
      </c>
      <c r="K33" t="inlineStr">
        <is>
          <t>Stock In</t>
        </is>
      </c>
    </row>
    <row r="34">
      <c r="A34" s="28" t="n">
        <v>46081</v>
      </c>
      <c r="B34" t="inlineStr">
        <is>
          <t>Label Printers</t>
        </is>
      </c>
      <c r="C34" s="55" t="inlineStr">
        <is>
          <t>29J173600158</t>
        </is>
      </c>
      <c r="D34" t="inlineStr">
        <is>
          <t>Zebra GK420t</t>
        </is>
      </c>
      <c r="E34" t="n">
        <v>1</v>
      </c>
      <c r="I34" t="inlineStr">
        <is>
          <t>IT</t>
        </is>
      </c>
      <c r="K34" t="inlineStr">
        <is>
          <t>Stock In</t>
        </is>
      </c>
    </row>
    <row r="35">
      <c r="A35" s="28" t="n">
        <v>46081</v>
      </c>
      <c r="B35" t="inlineStr">
        <is>
          <t>Label Printers</t>
        </is>
      </c>
      <c r="C35" s="55" t="inlineStr">
        <is>
          <t>29J220201551</t>
        </is>
      </c>
      <c r="D35" t="inlineStr">
        <is>
          <t>Zebra GK420t</t>
        </is>
      </c>
      <c r="E35" t="n">
        <v>1</v>
      </c>
      <c r="I35" t="inlineStr">
        <is>
          <t>IT</t>
        </is>
      </c>
      <c r="K35" t="inlineStr">
        <is>
          <t>Stock In</t>
        </is>
      </c>
    </row>
    <row r="36">
      <c r="A36" s="28" t="n">
        <v>46081</v>
      </c>
      <c r="B36" t="inlineStr">
        <is>
          <t>M Class Printers</t>
        </is>
      </c>
      <c r="C36" s="55" t="inlineStr">
        <is>
          <t>72066305</t>
        </is>
      </c>
      <c r="D36" t="inlineStr">
        <is>
          <t>Datamax o Neil II</t>
        </is>
      </c>
      <c r="E36" t="n">
        <v>1</v>
      </c>
      <c r="I36" t="inlineStr">
        <is>
          <t>IT</t>
        </is>
      </c>
      <c r="K36" t="inlineStr">
        <is>
          <t>Stock In</t>
        </is>
      </c>
    </row>
    <row r="37">
      <c r="A37" s="28" t="n">
        <v>46081</v>
      </c>
      <c r="B37" t="inlineStr">
        <is>
          <t>M Class Printers</t>
        </is>
      </c>
      <c r="C37" s="55" t="inlineStr">
        <is>
          <t>94846032</t>
        </is>
      </c>
      <c r="D37" t="inlineStr">
        <is>
          <t>Datamax o Neil II</t>
        </is>
      </c>
      <c r="E37" t="n">
        <v>1</v>
      </c>
      <c r="I37" t="inlineStr">
        <is>
          <t>IT</t>
        </is>
      </c>
      <c r="K37" t="inlineStr">
        <is>
          <t>Stock In</t>
        </is>
      </c>
    </row>
    <row r="38">
      <c r="A38" s="28" t="n">
        <v>46081</v>
      </c>
      <c r="B38" t="inlineStr">
        <is>
          <t>MM Stations</t>
        </is>
      </c>
      <c r="C38" s="55" t="inlineStr">
        <is>
          <t>PJ250117171</t>
        </is>
      </c>
      <c r="E38" t="n">
        <v>1</v>
      </c>
      <c r="I38" t="inlineStr">
        <is>
          <t>IT</t>
        </is>
      </c>
      <c r="K38" t="inlineStr">
        <is>
          <t>Stock In</t>
        </is>
      </c>
    </row>
    <row r="39">
      <c r="A39" s="28" t="n">
        <v>46081</v>
      </c>
      <c r="B39" t="inlineStr">
        <is>
          <t>MM Stations</t>
        </is>
      </c>
      <c r="C39" s="55" t="inlineStr">
        <is>
          <t>PJ250117027</t>
        </is>
      </c>
      <c r="E39" t="n">
        <v>1</v>
      </c>
      <c r="I39" t="inlineStr">
        <is>
          <t>IT</t>
        </is>
      </c>
      <c r="K39" t="inlineStr">
        <is>
          <t>Stock In</t>
        </is>
      </c>
    </row>
    <row r="40">
      <c r="A40" s="28" t="n">
        <v>46081</v>
      </c>
      <c r="B40" t="inlineStr">
        <is>
          <t>MM Stations</t>
        </is>
      </c>
      <c r="C40" s="55" t="inlineStr">
        <is>
          <t>PJ250117028</t>
        </is>
      </c>
      <c r="E40" t="n">
        <v>1</v>
      </c>
      <c r="I40" t="inlineStr">
        <is>
          <t>IT</t>
        </is>
      </c>
      <c r="K40" t="inlineStr">
        <is>
          <t>Stock In</t>
        </is>
      </c>
    </row>
    <row r="41">
      <c r="A41" s="28" t="n">
        <v>46081</v>
      </c>
      <c r="B41" t="inlineStr">
        <is>
          <t>MM Stations</t>
        </is>
      </c>
      <c r="C41" s="55" t="inlineStr">
        <is>
          <t>PJ240920028</t>
        </is>
      </c>
      <c r="E41" t="n">
        <v>1</v>
      </c>
      <c r="I41" t="inlineStr">
        <is>
          <t>IT</t>
        </is>
      </c>
      <c r="K41" t="inlineStr">
        <is>
          <t>Stock In</t>
        </is>
      </c>
    </row>
    <row r="42">
      <c r="A42" s="28" t="n">
        <v>46081</v>
      </c>
      <c r="B42" t="inlineStr">
        <is>
          <t>MM Stations</t>
        </is>
      </c>
      <c r="C42" s="55" t="inlineStr">
        <is>
          <t>PJ250117029</t>
        </is>
      </c>
      <c r="E42" t="n">
        <v>1</v>
      </c>
      <c r="I42" t="inlineStr">
        <is>
          <t>IT</t>
        </is>
      </c>
      <c r="K42" t="inlineStr">
        <is>
          <t>Stock In</t>
        </is>
      </c>
    </row>
    <row r="43">
      <c r="A43" s="28" t="n">
        <v>46081</v>
      </c>
      <c r="B43" t="inlineStr">
        <is>
          <t>MM Stations</t>
        </is>
      </c>
      <c r="C43" s="55" t="inlineStr">
        <is>
          <t>PJ250117176</t>
        </is>
      </c>
      <c r="E43" t="n">
        <v>1</v>
      </c>
      <c r="I43" t="inlineStr">
        <is>
          <t>IT</t>
        </is>
      </c>
      <c r="K43" t="inlineStr">
        <is>
          <t>Stock In</t>
        </is>
      </c>
    </row>
    <row r="44">
      <c r="A44" s="28" t="n">
        <v>46081</v>
      </c>
      <c r="B44" t="inlineStr">
        <is>
          <t>MM Stations</t>
        </is>
      </c>
      <c r="C44" s="55" t="inlineStr">
        <is>
          <t>PJ250117126</t>
        </is>
      </c>
      <c r="E44" t="n">
        <v>1</v>
      </c>
      <c r="I44" t="inlineStr">
        <is>
          <t>IT</t>
        </is>
      </c>
      <c r="K44" t="inlineStr">
        <is>
          <t>Stock In</t>
        </is>
      </c>
    </row>
    <row r="45">
      <c r="A45" s="28" t="n">
        <v>46081</v>
      </c>
      <c r="B45" t="inlineStr">
        <is>
          <t>Desktops</t>
        </is>
      </c>
      <c r="C45" s="55" t="inlineStr">
        <is>
          <t>7YKPJB4</t>
        </is>
      </c>
      <c r="E45" t="n">
        <v>1</v>
      </c>
      <c r="I45" t="inlineStr">
        <is>
          <t>IT</t>
        </is>
      </c>
      <c r="K45" t="inlineStr">
        <is>
          <t>Stock In</t>
        </is>
      </c>
    </row>
    <row r="46">
      <c r="A46" s="28" t="n">
        <v>46081</v>
      </c>
      <c r="B46" t="inlineStr">
        <is>
          <t>Desktops</t>
        </is>
      </c>
      <c r="C46" s="55" t="inlineStr">
        <is>
          <t>4CE908042Z</t>
        </is>
      </c>
      <c r="E46" t="n">
        <v>1</v>
      </c>
      <c r="I46" t="inlineStr">
        <is>
          <t>IT</t>
        </is>
      </c>
      <c r="K46" t="inlineStr">
        <is>
          <t>Stock In</t>
        </is>
      </c>
    </row>
    <row r="47">
      <c r="A47" s="28" t="n">
        <v>46081</v>
      </c>
      <c r="B47" t="inlineStr">
        <is>
          <t>Android Scanners</t>
        </is>
      </c>
      <c r="C47" s="55" t="inlineStr">
        <is>
          <t>FG1197D007772</t>
        </is>
      </c>
      <c r="D47" t="inlineStr">
        <is>
          <t>Ciperlab</t>
        </is>
      </c>
      <c r="E47" t="n">
        <v>1</v>
      </c>
      <c r="I47" t="inlineStr">
        <is>
          <t>IT</t>
        </is>
      </c>
      <c r="K47" t="inlineStr">
        <is>
          <t>Stock In</t>
        </is>
      </c>
    </row>
    <row r="48">
      <c r="A48" s="28" t="n">
        <v>46081</v>
      </c>
      <c r="B48" t="inlineStr">
        <is>
          <t>Android Scanners</t>
        </is>
      </c>
      <c r="C48" s="55" t="inlineStr">
        <is>
          <t>FW12180000578</t>
        </is>
      </c>
      <c r="D48" t="inlineStr">
        <is>
          <t>Ciperlab</t>
        </is>
      </c>
      <c r="E48" t="n">
        <v>1</v>
      </c>
      <c r="I48" t="inlineStr">
        <is>
          <t>IT</t>
        </is>
      </c>
      <c r="K48" t="inlineStr">
        <is>
          <t>Stock In</t>
        </is>
      </c>
    </row>
    <row r="49">
      <c r="A49" s="28" t="n">
        <v>46081</v>
      </c>
      <c r="B49" t="inlineStr">
        <is>
          <t>USB Wi-Fi Dongle</t>
        </is>
      </c>
      <c r="E49" t="n">
        <v>1</v>
      </c>
      <c r="I49" t="inlineStr">
        <is>
          <t>IT</t>
        </is>
      </c>
      <c r="K49" t="inlineStr">
        <is>
          <t>Stock In</t>
        </is>
      </c>
    </row>
    <row r="50">
      <c r="A50" s="28" t="n">
        <v>46081</v>
      </c>
      <c r="B50" t="inlineStr">
        <is>
          <t>Type B Cell Chargers</t>
        </is>
      </c>
      <c r="E50" t="n">
        <v>2</v>
      </c>
      <c r="I50" t="inlineStr">
        <is>
          <t>IT</t>
        </is>
      </c>
      <c r="K50" t="inlineStr">
        <is>
          <t>Stock In</t>
        </is>
      </c>
    </row>
    <row r="51">
      <c r="A51" s="28" t="n">
        <v>46081</v>
      </c>
      <c r="B51" t="inlineStr">
        <is>
          <t>Type C Cell Chargers</t>
        </is>
      </c>
      <c r="E51" t="n">
        <v>3</v>
      </c>
      <c r="I51" t="inlineStr">
        <is>
          <t>IT</t>
        </is>
      </c>
      <c r="K51" t="inlineStr">
        <is>
          <t>Stock In</t>
        </is>
      </c>
    </row>
    <row r="52">
      <c r="A52" s="28" t="n">
        <v>46081</v>
      </c>
      <c r="B52" t="inlineStr">
        <is>
          <t>UBNT Nano Stations</t>
        </is>
      </c>
      <c r="E52" t="n">
        <v>2</v>
      </c>
      <c r="I52" t="inlineStr">
        <is>
          <t>IT</t>
        </is>
      </c>
      <c r="K52" t="inlineStr">
        <is>
          <t>Stock In</t>
        </is>
      </c>
    </row>
    <row r="53">
      <c r="A53" s="28" t="n">
        <v>46081</v>
      </c>
      <c r="B53" t="inlineStr">
        <is>
          <t>Turnstile Relays</t>
        </is>
      </c>
      <c r="E53" t="n">
        <v>3</v>
      </c>
      <c r="I53" t="inlineStr">
        <is>
          <t>IT</t>
        </is>
      </c>
      <c r="K53" t="inlineStr">
        <is>
          <t>Stock In</t>
        </is>
      </c>
    </row>
    <row r="54">
      <c r="A54" s="28" t="n">
        <v>46081</v>
      </c>
      <c r="B54" t="inlineStr">
        <is>
          <t>UPS - 12v</t>
        </is>
      </c>
      <c r="E54" t="n">
        <v>20</v>
      </c>
      <c r="I54" t="inlineStr">
        <is>
          <t>IT</t>
        </is>
      </c>
      <c r="K54" t="inlineStr">
        <is>
          <t>Stock In</t>
        </is>
      </c>
    </row>
    <row r="55">
      <c r="A55" s="28" t="n">
        <v>46081</v>
      </c>
      <c r="B55" t="inlineStr">
        <is>
          <t>Biometrics - VisionPass</t>
        </is>
      </c>
      <c r="E55" t="n">
        <v>1</v>
      </c>
      <c r="I55" t="inlineStr">
        <is>
          <t>IT</t>
        </is>
      </c>
      <c r="K55" t="inlineStr">
        <is>
          <t>Stock In</t>
        </is>
      </c>
    </row>
    <row r="56">
      <c r="A56" s="28" t="n">
        <v>46081</v>
      </c>
      <c r="B56" t="inlineStr">
        <is>
          <t>Laptop Bags</t>
        </is>
      </c>
      <c r="E56" t="n">
        <v>1</v>
      </c>
      <c r="I56" t="inlineStr">
        <is>
          <t>IT</t>
        </is>
      </c>
      <c r="K56" t="inlineStr">
        <is>
          <t>Stock In</t>
        </is>
      </c>
    </row>
    <row r="57">
      <c r="A57" s="28" t="n">
        <v>46081</v>
      </c>
      <c r="B57" t="inlineStr">
        <is>
          <t>GK420T Heads</t>
        </is>
      </c>
      <c r="E57" t="n">
        <v>5</v>
      </c>
      <c r="I57" t="inlineStr">
        <is>
          <t>IT</t>
        </is>
      </c>
      <c r="K57" t="inlineStr">
        <is>
          <t>Stock In</t>
        </is>
      </c>
    </row>
    <row r="58">
      <c r="A58" s="28" t="n">
        <v>46081</v>
      </c>
      <c r="B58" t="inlineStr">
        <is>
          <t>RJ45 Plugs</t>
        </is>
      </c>
      <c r="E58" t="n">
        <v>88</v>
      </c>
      <c r="I58" t="inlineStr">
        <is>
          <t>IT</t>
        </is>
      </c>
      <c r="K58" t="inlineStr">
        <is>
          <t>Stock In</t>
        </is>
      </c>
    </row>
    <row r="59">
      <c r="A59" s="28" t="n">
        <v>46081</v>
      </c>
      <c r="B59" t="inlineStr">
        <is>
          <t>RJ45 Boots</t>
        </is>
      </c>
      <c r="E59" t="n">
        <v>13</v>
      </c>
      <c r="I59" t="inlineStr">
        <is>
          <t>IT</t>
        </is>
      </c>
      <c r="K59" t="inlineStr">
        <is>
          <t>Stock In</t>
        </is>
      </c>
    </row>
    <row r="60">
      <c r="A60" s="28" t="n">
        <v>46081</v>
      </c>
      <c r="B60" t="inlineStr">
        <is>
          <t>Toners - Kyocera 4012</t>
        </is>
      </c>
      <c r="E60" t="n">
        <v>3</v>
      </c>
      <c r="I60" t="inlineStr">
        <is>
          <t>IT</t>
        </is>
      </c>
      <c r="K60" t="inlineStr">
        <is>
          <t>Stock In</t>
        </is>
      </c>
    </row>
    <row r="61">
      <c r="A61" s="28" t="n">
        <v>46081</v>
      </c>
      <c r="B61" t="inlineStr">
        <is>
          <t>Toners - Kyocera 3212</t>
        </is>
      </c>
      <c r="E61" t="n">
        <v>3</v>
      </c>
      <c r="I61" t="inlineStr">
        <is>
          <t>IT</t>
        </is>
      </c>
      <c r="K61" t="inlineStr">
        <is>
          <t>Stock In</t>
        </is>
      </c>
    </row>
    <row r="62">
      <c r="A62" s="28" t="n">
        <v>46081</v>
      </c>
      <c r="B62" t="inlineStr">
        <is>
          <t>Toners - MA4500ix</t>
        </is>
      </c>
      <c r="E62" t="n">
        <v>3</v>
      </c>
      <c r="I62" t="inlineStr">
        <is>
          <t>IT</t>
        </is>
      </c>
      <c r="K62" t="inlineStr">
        <is>
          <t>Stock In</t>
        </is>
      </c>
    </row>
    <row r="63">
      <c r="A63" s="28" t="n">
        <v>46081</v>
      </c>
      <c r="B63" t="inlineStr">
        <is>
          <t>Toners - Olivetti C2335</t>
        </is>
      </c>
      <c r="E63" t="n">
        <v>3</v>
      </c>
      <c r="I63" t="inlineStr">
        <is>
          <t>IT</t>
        </is>
      </c>
      <c r="K63" t="inlineStr">
        <is>
          <t>Stock In</t>
        </is>
      </c>
    </row>
    <row r="64">
      <c r="A64" s="28" t="n">
        <v>46081</v>
      </c>
      <c r="B64" t="inlineStr">
        <is>
          <t>Fibre - Single mode (LC to LC)</t>
        </is>
      </c>
      <c r="E64" t="n">
        <v>14</v>
      </c>
      <c r="I64" t="inlineStr">
        <is>
          <t>IT</t>
        </is>
      </c>
      <c r="K64" t="inlineStr">
        <is>
          <t>Stock In</t>
        </is>
      </c>
    </row>
    <row r="65">
      <c r="A65" s="28" t="n">
        <v>46081</v>
      </c>
      <c r="B65" t="inlineStr">
        <is>
          <t>Fibre - Multi mode (LC to ST)</t>
        </is>
      </c>
      <c r="E65" t="n">
        <v>8</v>
      </c>
      <c r="I65" t="inlineStr">
        <is>
          <t>IT</t>
        </is>
      </c>
      <c r="K65" t="inlineStr">
        <is>
          <t>Stock In</t>
        </is>
      </c>
    </row>
    <row r="66">
      <c r="A66" s="28" t="n">
        <v>46081</v>
      </c>
      <c r="B66" t="inlineStr">
        <is>
          <t>Fibre - Multi mode (LC to LC)</t>
        </is>
      </c>
      <c r="E66" t="n">
        <v>8</v>
      </c>
      <c r="I66" t="inlineStr">
        <is>
          <t>IT</t>
        </is>
      </c>
      <c r="K66" t="inlineStr">
        <is>
          <t>Stock In</t>
        </is>
      </c>
    </row>
    <row r="67">
      <c r="A67" s="28" t="n">
        <v>46081</v>
      </c>
      <c r="B67" t="inlineStr">
        <is>
          <t>SFP Multi-mode Modules</t>
        </is>
      </c>
      <c r="E67" t="n">
        <v>14</v>
      </c>
      <c r="I67" t="inlineStr">
        <is>
          <t>IT</t>
        </is>
      </c>
      <c r="K67" t="inlineStr">
        <is>
          <t>Stock In</t>
        </is>
      </c>
    </row>
    <row r="68">
      <c r="A68" s="28" t="n">
        <v>46081</v>
      </c>
      <c r="B68" t="inlineStr">
        <is>
          <t>SFP Single-mode Modules</t>
        </is>
      </c>
      <c r="E68" t="n">
        <v>2</v>
      </c>
      <c r="I68" t="inlineStr">
        <is>
          <t>IT</t>
        </is>
      </c>
      <c r="K68" t="inlineStr">
        <is>
          <t>Stock In</t>
        </is>
      </c>
    </row>
    <row r="69">
      <c r="A69" s="28" t="n">
        <v>46081</v>
      </c>
      <c r="B69" t="inlineStr">
        <is>
          <t>Laptop Chargers</t>
        </is>
      </c>
      <c r="E69" t="n">
        <v>3</v>
      </c>
      <c r="I69" t="inlineStr">
        <is>
          <t>IT</t>
        </is>
      </c>
      <c r="K69" t="inlineStr">
        <is>
          <t>Stock In</t>
        </is>
      </c>
    </row>
    <row r="70">
      <c r="A70" s="28" t="n">
        <v>46081</v>
      </c>
      <c r="B70" t="inlineStr">
        <is>
          <t>Network Cable(1 Roll x 200m)</t>
        </is>
      </c>
      <c r="E70" t="n">
        <v>0.25</v>
      </c>
      <c r="I70" t="inlineStr">
        <is>
          <t>IT</t>
        </is>
      </c>
      <c r="K70" t="inlineStr">
        <is>
          <t>Stock In</t>
        </is>
      </c>
    </row>
    <row r="71">
      <c r="A71" s="28" t="n">
        <v>46081</v>
      </c>
      <c r="B71" t="inlineStr">
        <is>
          <t>UPS - Desktop</t>
        </is>
      </c>
      <c r="E71" t="n">
        <v>1</v>
      </c>
      <c r="I71" t="inlineStr">
        <is>
          <t>IT</t>
        </is>
      </c>
      <c r="K71" t="inlineStr">
        <is>
          <t>Stock In</t>
        </is>
      </c>
    </row>
    <row r="72">
      <c r="A72" s="28" t="n">
        <v>46081</v>
      </c>
      <c r="B72" t="inlineStr">
        <is>
          <t>Label Printers</t>
        </is>
      </c>
      <c r="C72" s="55" t="inlineStr">
        <is>
          <t>29J220201531</t>
        </is>
      </c>
      <c r="D72" t="inlineStr">
        <is>
          <t>Zebra GK420t</t>
        </is>
      </c>
      <c r="E72" t="n">
        <v>1</v>
      </c>
      <c r="F72" t="n">
        <v>0</v>
      </c>
      <c r="G72" t="n">
        <v>0</v>
      </c>
      <c r="H72" t="n">
        <v>0</v>
      </c>
      <c r="I72" t="inlineStr">
        <is>
          <t>Dispatch</t>
        </is>
      </c>
      <c r="J72" t="inlineStr">
        <is>
          <t>ESTDispatch1</t>
        </is>
      </c>
      <c r="K72" t="inlineStr">
        <is>
          <t>Stock Out</t>
        </is>
      </c>
    </row>
    <row r="73">
      <c r="A73" t="inlineStr">
        <is>
          <t>2026-03-23</t>
        </is>
      </c>
      <c r="B73" t="inlineStr">
        <is>
          <t>Access Points</t>
        </is>
      </c>
      <c r="C73" t="inlineStr">
        <is>
          <t>123</t>
        </is>
      </c>
      <c r="D73" t="inlineStr">
        <is>
          <t>test</t>
        </is>
      </c>
      <c r="E73" t="n">
        <v>2</v>
      </c>
      <c r="I73" t="inlineStr">
        <is>
          <t>it</t>
        </is>
      </c>
      <c r="J73" t="inlineStr">
        <is>
          <t>test</t>
        </is>
      </c>
      <c r="K73" t="inlineStr">
        <is>
          <t>Stock In</t>
        </is>
      </c>
    </row>
    <row r="74">
      <c r="A74" t="inlineStr">
        <is>
          <t>2026-03-23</t>
        </is>
      </c>
      <c r="B74" t="inlineStr">
        <is>
          <t>Test</t>
        </is>
      </c>
      <c r="C74" t="inlineStr">
        <is>
          <t>123</t>
        </is>
      </c>
      <c r="D74" t="inlineStr">
        <is>
          <t>test</t>
        </is>
      </c>
      <c r="E74" t="n">
        <v>5</v>
      </c>
      <c r="I74" t="inlineStr">
        <is>
          <t>test</t>
        </is>
      </c>
      <c r="J74" t="inlineStr">
        <is>
          <t>test</t>
        </is>
      </c>
      <c r="K74" t="inlineStr">
        <is>
          <t>Stock In</t>
        </is>
      </c>
    </row>
    <row r="75">
      <c r="A75" t="inlineStr">
        <is>
          <t>2026-03-23</t>
        </is>
      </c>
      <c r="B75" t="inlineStr">
        <is>
          <t>test</t>
        </is>
      </c>
      <c r="C75" t="inlineStr">
        <is>
          <t>test</t>
        </is>
      </c>
      <c r="D75" t="inlineStr">
        <is>
          <t>test</t>
        </is>
      </c>
      <c r="E75" t="n">
        <v>3</v>
      </c>
      <c r="I75" t="inlineStr">
        <is>
          <t>test</t>
        </is>
      </c>
      <c r="J75" t="inlineStr">
        <is>
          <t>test</t>
        </is>
      </c>
      <c r="K75" t="inlineStr">
        <is>
          <t>Stock In</t>
        </is>
      </c>
    </row>
    <row r="76">
      <c r="A76" t="inlineStr">
        <is>
          <t>2026-03-23</t>
        </is>
      </c>
      <c r="B76" t="inlineStr">
        <is>
          <t>test</t>
        </is>
      </c>
      <c r="C76" t="inlineStr">
        <is>
          <t>test</t>
        </is>
      </c>
      <c r="D76" t="inlineStr">
        <is>
          <t>test</t>
        </is>
      </c>
      <c r="E76" t="n">
        <v>1</v>
      </c>
      <c r="I76" t="inlineStr">
        <is>
          <t>test</t>
        </is>
      </c>
      <c r="J76" t="inlineStr">
        <is>
          <t>test</t>
        </is>
      </c>
      <c r="K76" t="inlineStr">
        <is>
          <t>Stock Out</t>
        </is>
      </c>
    </row>
    <row r="77">
      <c r="A77" t="inlineStr">
        <is>
          <t>2026-03-23</t>
        </is>
      </c>
      <c r="B77" t="inlineStr">
        <is>
          <t>test</t>
        </is>
      </c>
      <c r="C77" t="inlineStr">
        <is>
          <t>test</t>
        </is>
      </c>
      <c r="D77" t="inlineStr">
        <is>
          <t>test</t>
        </is>
      </c>
      <c r="E77" t="n">
        <v>3</v>
      </c>
      <c r="I77" t="inlineStr">
        <is>
          <t>test</t>
        </is>
      </c>
      <c r="J77" t="inlineStr">
        <is>
          <t>test</t>
        </is>
      </c>
      <c r="K77" t="inlineStr">
        <is>
          <t>Stock In</t>
        </is>
      </c>
    </row>
    <row r="78">
      <c r="A78" t="inlineStr">
        <is>
          <t>2026-03-24</t>
        </is>
      </c>
      <c r="B78" t="inlineStr">
        <is>
          <t>Label Printers</t>
        </is>
      </c>
      <c r="C78" t="inlineStr">
        <is>
          <t>test2</t>
        </is>
      </c>
      <c r="D78" t="inlineStr">
        <is>
          <t>TSC</t>
        </is>
      </c>
      <c r="E78" t="n">
        <v>1</v>
      </c>
      <c r="I78" t="inlineStr">
        <is>
          <t>IT</t>
        </is>
      </c>
      <c r="K78" t="inlineStr">
        <is>
          <t>Stock In</t>
        </is>
      </c>
    </row>
    <row r="79">
      <c r="A79" t="inlineStr">
        <is>
          <t>2026-03-30</t>
        </is>
      </c>
      <c r="B79" t="inlineStr">
        <is>
          <t>Android Scanners</t>
        </is>
      </c>
      <c r="C79" t="inlineStr">
        <is>
          <t>test</t>
        </is>
      </c>
      <c r="D79" t="inlineStr">
        <is>
          <t>testy</t>
        </is>
      </c>
      <c r="E79" t="n">
        <v>2</v>
      </c>
      <c r="I79" t="inlineStr">
        <is>
          <t>IT</t>
        </is>
      </c>
      <c r="J79" t="inlineStr"/>
      <c r="K79" t="inlineStr">
        <is>
          <t>Stock 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G1:K12"/>
  <sheetViews>
    <sheetView showGridLines="0" workbookViewId="0">
      <selection activeCell="J1" sqref="J1"/>
    </sheetView>
  </sheetViews>
  <sheetFormatPr baseColWidth="8" defaultRowHeight="15" outlineLevelCol="0"/>
  <cols>
    <col width="10.140625" customWidth="1" style="54" min="1" max="6"/>
    <col width="25.28515625" customWidth="1" style="64" min="7" max="7"/>
    <col width="25.28515625" customWidth="1" style="55" min="8" max="8"/>
    <col width="25.28515625" customWidth="1" style="64" min="9" max="11"/>
    <col width="13.5703125" bestFit="1" customWidth="1" style="64" min="12" max="12"/>
    <col width="14.140625" bestFit="1" customWidth="1" style="64" min="13" max="13"/>
  </cols>
  <sheetData>
    <row r="1">
      <c r="G1" s="27" t="inlineStr">
        <is>
          <t>Product</t>
        </is>
      </c>
      <c r="H1" s="56" t="inlineStr">
        <is>
          <t>Serial Num</t>
        </is>
      </c>
      <c r="I1" s="27" t="inlineStr">
        <is>
          <t>Date</t>
        </is>
      </c>
      <c r="J1" s="27" t="inlineStr">
        <is>
          <t>Stock</t>
        </is>
      </c>
      <c r="K1" s="27" t="inlineStr">
        <is>
          <t>Department</t>
        </is>
      </c>
    </row>
    <row r="2">
      <c r="G2" t="inlineStr">
        <is>
          <t>Label Printers</t>
        </is>
      </c>
      <c r="H2" t="inlineStr">
        <is>
          <t>28J174600908</t>
        </is>
      </c>
      <c r="I2" s="28" t="n">
        <v>46081</v>
      </c>
      <c r="J2" t="inlineStr">
        <is>
          <t>Stock In</t>
        </is>
      </c>
      <c r="K2" t="inlineStr">
        <is>
          <t>IT</t>
        </is>
      </c>
    </row>
    <row r="3">
      <c r="H3" t="inlineStr">
        <is>
          <t>29J173600158</t>
        </is>
      </c>
      <c r="I3" s="28" t="n">
        <v>46081</v>
      </c>
      <c r="J3" t="inlineStr">
        <is>
          <t>Stock In</t>
        </is>
      </c>
      <c r="K3" t="inlineStr">
        <is>
          <t>IT</t>
        </is>
      </c>
    </row>
    <row r="4">
      <c r="H4" t="inlineStr">
        <is>
          <t>29J173600541</t>
        </is>
      </c>
      <c r="I4" s="28" t="n">
        <v>46081</v>
      </c>
      <c r="J4" t="inlineStr">
        <is>
          <t>Stock In</t>
        </is>
      </c>
      <c r="K4" t="inlineStr">
        <is>
          <t>IT</t>
        </is>
      </c>
    </row>
    <row r="5">
      <c r="H5" t="inlineStr">
        <is>
          <t>29J220201531</t>
        </is>
      </c>
      <c r="I5" s="28" t="n">
        <v>46078</v>
      </c>
      <c r="J5" t="inlineStr">
        <is>
          <t>Stock In</t>
        </is>
      </c>
      <c r="K5" t="inlineStr">
        <is>
          <t>IT</t>
        </is>
      </c>
    </row>
    <row r="6">
      <c r="I6" s="28" t="n">
        <v>46079</v>
      </c>
      <c r="J6" t="inlineStr">
        <is>
          <t>Stock Out</t>
        </is>
      </c>
      <c r="K6" t="inlineStr">
        <is>
          <t>Bacon</t>
        </is>
      </c>
    </row>
    <row r="7">
      <c r="I7" s="28" t="n">
        <v>46080</v>
      </c>
      <c r="J7" t="inlineStr">
        <is>
          <t>Stock In</t>
        </is>
      </c>
      <c r="K7" t="inlineStr">
        <is>
          <t>IT</t>
        </is>
      </c>
    </row>
    <row r="8">
      <c r="I8" s="28" t="n">
        <v>46081</v>
      </c>
      <c r="J8" t="inlineStr">
        <is>
          <t>Stock Out</t>
        </is>
      </c>
      <c r="K8" t="inlineStr">
        <is>
          <t>Dispatch</t>
        </is>
      </c>
    </row>
    <row r="9">
      <c r="H9" t="inlineStr">
        <is>
          <t>29J220201551</t>
        </is>
      </c>
      <c r="I9" s="28" t="n">
        <v>46081</v>
      </c>
      <c r="J9" t="inlineStr">
        <is>
          <t>Stock In</t>
        </is>
      </c>
      <c r="K9" t="inlineStr">
        <is>
          <t>IT</t>
        </is>
      </c>
    </row>
    <row r="10">
      <c r="H10" t="inlineStr">
        <is>
          <t>D4J244908462</t>
        </is>
      </c>
      <c r="I10" s="28" t="n">
        <v>46081</v>
      </c>
      <c r="J10" t="inlineStr">
        <is>
          <t>Stock In</t>
        </is>
      </c>
      <c r="K10" t="inlineStr">
        <is>
          <t>IT</t>
        </is>
      </c>
    </row>
    <row r="11">
      <c r="H11" t="inlineStr">
        <is>
          <t>D4J251803235</t>
        </is>
      </c>
      <c r="I11" s="28" t="n">
        <v>46081</v>
      </c>
      <c r="J11" t="inlineStr">
        <is>
          <t>Stock In</t>
        </is>
      </c>
      <c r="K11" t="inlineStr">
        <is>
          <t>IT</t>
        </is>
      </c>
    </row>
    <row r="12">
      <c r="H12" t="inlineStr">
        <is>
          <t>D5J202602178</t>
        </is>
      </c>
      <c r="I12" s="28" t="n">
        <v>46081</v>
      </c>
      <c r="J12" t="inlineStr">
        <is>
          <t>Stock In</t>
        </is>
      </c>
      <c r="K12" t="inlineStr">
        <is>
          <t>IT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G6"/>
  <sheetViews>
    <sheetView workbookViewId="0">
      <selection activeCell="H22" sqref="H22"/>
    </sheetView>
  </sheetViews>
  <sheetFormatPr baseColWidth="8" defaultRowHeight="15" outlineLevelCol="0"/>
  <cols>
    <col width="17" bestFit="1" customWidth="1" style="64" min="1" max="1"/>
    <col width="13.42578125" bestFit="1" customWidth="1" style="64" min="2" max="2"/>
    <col width="14.140625" bestFit="1" customWidth="1" style="64" min="3" max="6"/>
    <col width="11.28515625" bestFit="1" customWidth="1" style="64" min="7" max="8"/>
  </cols>
  <sheetData>
    <row r="1">
      <c r="A1" s="27" t="inlineStr">
        <is>
          <t xml:space="preserve"> Price excl</t>
        </is>
      </c>
      <c r="C1" s="27" t="inlineStr">
        <is>
          <t>Department</t>
        </is>
      </c>
    </row>
    <row r="2">
      <c r="A2" s="27" t="inlineStr">
        <is>
          <t>Asset / Inv Num</t>
        </is>
      </c>
      <c r="B2" s="27" t="inlineStr">
        <is>
          <t>Days (Date)</t>
        </is>
      </c>
      <c r="C2" t="inlineStr">
        <is>
          <t>Deboning</t>
        </is>
      </c>
      <c r="D2" t="inlineStr">
        <is>
          <t>IT</t>
        </is>
      </c>
      <c r="E2" t="inlineStr">
        <is>
          <t>HR</t>
        </is>
      </c>
      <c r="F2" t="inlineStr">
        <is>
          <t>Health &amp; Saftey</t>
        </is>
      </c>
      <c r="G2" t="inlineStr">
        <is>
          <t>Grand Total</t>
        </is>
      </c>
    </row>
    <row r="3">
      <c r="A3" t="inlineStr">
        <is>
          <t>XT3237</t>
        </is>
      </c>
      <c r="B3" t="inlineStr">
        <is>
          <t>13-Mar</t>
        </is>
      </c>
      <c r="C3" s="89" t="n">
        <v>6041</v>
      </c>
      <c r="D3" s="89" t="n">
        <v>4252</v>
      </c>
      <c r="E3" s="89" t="n"/>
      <c r="F3" s="89" t="n"/>
      <c r="G3" s="89" t="n">
        <v>10293</v>
      </c>
    </row>
    <row r="4">
      <c r="A4" t="inlineStr">
        <is>
          <t>XT3242</t>
        </is>
      </c>
      <c r="B4" t="inlineStr">
        <is>
          <t>13-Mar</t>
        </is>
      </c>
      <c r="C4" s="89" t="n"/>
      <c r="D4" s="89" t="n"/>
      <c r="E4" s="89" t="n">
        <v>3495</v>
      </c>
      <c r="F4" s="89" t="n"/>
      <c r="G4" s="89" t="n">
        <v>3495</v>
      </c>
    </row>
    <row r="5">
      <c r="A5" t="inlineStr">
        <is>
          <t>XT3243</t>
        </is>
      </c>
      <c r="B5" t="inlineStr">
        <is>
          <t>16-Mar</t>
        </is>
      </c>
      <c r="C5" s="89" t="n"/>
      <c r="D5" s="89" t="n"/>
      <c r="E5" s="89" t="n"/>
      <c r="F5" s="89" t="n">
        <v>17264</v>
      </c>
      <c r="G5" s="89" t="n">
        <v>17264</v>
      </c>
    </row>
    <row r="6">
      <c r="A6" t="inlineStr">
        <is>
          <t>Grand Total</t>
        </is>
      </c>
      <c r="C6" s="89" t="n">
        <v>6041</v>
      </c>
      <c r="D6" s="89" t="n">
        <v>4252</v>
      </c>
      <c r="E6" s="89" t="n">
        <v>3495</v>
      </c>
      <c r="F6" s="89" t="n">
        <v>17264</v>
      </c>
      <c r="G6" s="89" t="n">
        <v>31052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Avinash Ramballie</dc:creator>
  <dcterms:created xsi:type="dcterms:W3CDTF">2026-02-26T08:35:18Z</dcterms:created>
  <dcterms:modified xsi:type="dcterms:W3CDTF">2026-03-30T07:20:54Z</dcterms:modified>
  <cp:lastModifiedBy>Ntethelelo Shabalala</cp:lastModifiedBy>
  <cp:lastPrinted>2026-03-11T07:21:41Z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0x010100BCE3F89354BF0D479E23E3E84E73575E</vt:lpwstr>
  </property>
  <property name="MediaServiceImageTags" fmtid="{D5CDD505-2E9C-101B-9397-08002B2CF9AE}" pid="3">
    <vt:lpwstr/>
  </property>
</Properties>
</file>